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11.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Lines" sheetId="3" state="visible" r:id="rId5"/>
    <sheet name="Track Ways" sheetId="4" state="visible" r:id="rId6"/>
    <sheet name="Track Nodes" sheetId="5" state="visible" r:id="rId7"/>
    <sheet name="Chronology" sheetId="6" state="visible" r:id="rId8"/>
    <sheet name="1905 Franchise Laws" sheetId="7" state="visible" r:id="rId9"/>
    <sheet name="Route Numbers 1936-62" sheetId="8" state="visible" r:id="rId10"/>
    <sheet name="CTC Route Table" sheetId="9" state="visible" r:id="rId11"/>
    <sheet name="Companies" sheetId="10" state="visible" r:id="rId12"/>
    <sheet name="Maps" sheetId="11" state="visible" r:id="rId13"/>
    <sheet name="Research Notes" sheetId="12" state="visible" r:id="rId14"/>
    <sheet name="Sourc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<sst xmlns="http://schemas.openxmlformats.org/spreadsheetml/2006/main" count="7568" uniqueCount="2848">
  <si>
    <t xml:space="preserve">Washington, D.C. streetcar lines, 1862–1962</t>
  </si>
  <si>
    <t xml:space="preserve">Sheets</t>
  </si>
  <si>
    <t xml:space="preserve">Chronology: 176 dated events (charters, openings, extensions, power changes, closures), sorted by year and keyed to Line IDs.</t>
  </si>
  <si>
    <t xml:space="preserve">Route Numbers 1936-62: every Capital Transit / D.C. Transit streetcar route number with termini, the 1946 street-by-street routing (Tundria) where known, and end dates. Routes 40/42 corrected in version 5.</t>
  </si>
  <si>
    <t xml:space="preserve">Track Ways: the network as a node-and-way model, split into stretches of physical track. Each stretch is one way tagged railway=tram with start_date and end_date; the lines that run over it are route relations (type=route, route=tram), whose tags are in the Lines sheet. Shared stretches are listed first. The same model is exported as dc_streetcars_OHM_draft.osm.</t>
  </si>
  <si>
    <t xml:space="preserve">Relations: each line is a type=chronology relation listing its dated route relations in order. Each dated route (type=route, route=tram) covers a period in which the line used the same set of ways, with the same operator and motive power (railway:traction), and carries its own start_date and end_date. A way records only when the track itself existed, so one way can belong to different routes in different periods.</t>
  </si>
  <si>
    <t xml:space="preserve">Track Nodes: tagged nodes in the track network: railway=railway_crossing where two tracks cross at grade (dated to the years both tracks existed) and railway=switch where tracks branch.</t>
  </si>
  <si>
    <t xml:space="preserve">1905 Franchise Laws: acts of Congress and charters for lines that were actually built, with the authorized route trimmed to the portion that was built, and the matching Line ID.</t>
  </si>
  <si>
    <t xml:space="preserve">Research Notes: source conflicts, corrections made in this version, unreliable sources, gaps, and primary sources worth mining next.</t>
  </si>
  <si>
    <t xml:space="preserve">Lines: one row per line, branch or extension, with streets, company, motive power, opening and closing dates, and 1936+ route numbers. The four right-hand columns give the length of track drawn for the line, how much of it is shared, the lines it shares track with, and its route relation tags in OHM form. The numeric 'First year' and 'Year service ended' columns are there for time-slider mapping.</t>
  </si>
  <si>
    <t xml:space="preserve">Summary: counts of lines opened and ended by decade (live formulas from the Lines sheet).</t>
  </si>
  <si>
    <t xml:space="preserve">CTC Route Table: the chicagorailfan.com line-by-line table (horse, cable and electric start years plus bus conversion date), with duplicates removed.</t>
  </si>
  <si>
    <t xml:space="preserve">Companies: every street railway company that built and operated track, plus the holding companies that controlled them.</t>
  </si>
  <si>
    <t xml:space="preserve">Maps: historic system maps found online, by year.</t>
  </si>
  <si>
    <t xml:space="preserve">Sources: full citations and URLs for every source key used (WP-*, MPD, TIN, CRF, etc.).</t>
  </si>
  <si>
    <t xml:space="preserve">Caveats</t>
  </si>
  <si>
    <t xml:space="preserve">Where sources disagree, both dates are given in the text and the better-documented one is used in the numeric column. All known conflicts are listed on the Research Notes sheet.</t>
  </si>
  <si>
    <t xml:space="preserve">Years marked 'approximate' in Notes come from sources that give only a decade ('1920s', '1930s').</t>
  </si>
  <si>
    <t xml:space="preserve">Street descriptions are as written in the sources. They are not surveyed alignments, so georeference against the 1892, 1912 and 1958 maps for geometry.</t>
  </si>
  <si>
    <t xml:space="preserve">Coverage is best for DC proper. The Virginia lines inside Virginia are included only at branch level.</t>
  </si>
  <si>
    <t xml:space="preserve">Compiled Sept 24, 2026. Version 7 is limited to lines, extensions and events that were actually built: unbuilt charters, proposals and routes have been removed. Version 5 added findings from reviewing the 1880, 1891, 1910, 1924, 1942, 1946 and 1958 maps: corrected route termini, three new line rows (L56–L58), and the Rand McNally map series.</t>
  </si>
  <si>
    <t xml:space="preserve">Lines by decade (formulas read the Lines sheet)</t>
  </si>
  <si>
    <t xml:space="preserve">Decade start</t>
  </si>
  <si>
    <t xml:space="preserve">Lines opened</t>
  </si>
  <si>
    <t xml:space="preserve">Lines ended</t>
  </si>
  <si>
    <t xml:space="preserve">Net change</t>
  </si>
  <si>
    <t xml:space="preserve">Total</t>
  </si>
  <si>
    <t xml:space="preserve">Lines with no end year recorded</t>
  </si>
  <si>
    <t xml:space="preserve">Total rows in Lines sheet</t>
  </si>
  <si>
    <t xml:space="preserve">Counts are by segment/row, not by company; a line split into branches counts once per branch.</t>
  </si>
  <si>
    <t xml:space="preserve">ID</t>
  </si>
  <si>
    <t xml:space="preserve">Line / corridor</t>
  </si>
  <si>
    <t xml:space="preserve">Streets &amp; termini (as described in sources)</t>
  </si>
  <si>
    <t xml:space="preserve">Jurisdiction</t>
  </si>
  <si>
    <t xml:space="preserve">Original company</t>
  </si>
  <si>
    <t xml:space="preserve">Later operators</t>
  </si>
  <si>
    <t xml:space="preserve">Motive power history</t>
  </si>
  <si>
    <t xml:space="preserve">First year of rail service</t>
  </si>
  <si>
    <t xml:space="preserve">Horse cars from</t>
  </si>
  <si>
    <t xml:space="preserve">Cable from</t>
  </si>
  <si>
    <t xml:space="preserve">Electric from</t>
  </si>
  <si>
    <t xml:space="preserve">Capital Transit route no(s). (1936+)</t>
  </si>
  <si>
    <t xml:space="preserve">Streetcar service ended</t>
  </si>
  <si>
    <t xml:space="preserve">Year service ended</t>
  </si>
  <si>
    <t xml:space="preserve">Replaced by</t>
  </si>
  <si>
    <t xml:space="preserve">Notes</t>
  </si>
  <si>
    <t xml:space="preserve">Sources</t>
  </si>
  <si>
    <t xml:space="preserve">Track drawn (km)</t>
  </si>
  <si>
    <t xml:space="preserve">Of which shared (km)</t>
  </si>
  <si>
    <t xml:space="preserve">Shares track with</t>
  </si>
  <si>
    <t xml:space="preserve">Chronology and dated routes (OHM)</t>
  </si>
  <si>
    <t xml:space="preserve">L01</t>
  </si>
  <si>
    <t xml:space="preserve">Pennsylvania Avenue line (Georgetown–Navy Yard)</t>
  </si>
  <si>
    <t xml:space="preserve">M St NW (Georgetown) – Pennsylvania Ave NW/SE – Navy Yard; extended 1895 from 32nd St to 36th &amp; M St (Georgetown Car Barn); extended on Pennsylvania Ave SE from 8th St to 17th St SE in 1901, later to Barney Circle</t>
  </si>
  <si>
    <t xml:space="preserve">DC</t>
  </si>
  <si>
    <t xml:space="preserve">Washington &amp; Georgetown Railroad</t>
  </si>
  <si>
    <t xml:space="preserve">Capital Traction (1895); Capital Transit (1933); D.C. Transit (1956)</t>
  </si>
  <si>
    <t xml:space="preserve">Horse → cable (1892) → horse again after Sept 1897 powerhouse fire → underground conduit electric (1898)</t>
  </si>
  <si>
    <t xml:space="preserve">1862</t>
  </si>
  <si>
    <t xml:space="preserve">1892</t>
  </si>
  <si>
    <t xml:space="preserve">1898</t>
  </si>
  <si>
    <t xml:space="preserve">30 (Wisconsin Ave–Pennsylvania Ave SE); 54 (14th St–Pennsylvania Ave to Navy Yard)</t>
  </si>
  <si>
    <t xml:space="preserve">Route 30: Jan 3, 1960; Route 54: Jan 28, 1962</t>
  </si>
  <si>
    <t xml:space="preserve">Bus routes 30s / 54</t>
  </si>
  <si>
    <t xml:space="preserve">Capitol–White House July 29, 1862; Washington Circle Aug 12; Georgetown Aug 18; Navy Yard Oct 2. Electrified Apr 20, 1898. West End loop 1901. West End loops: see L56. Map: westbound cars used a Wisconsin Ave, Prospect St and 34th St loop in 1946 (Tundria), and the line used M St and 26th St between 1875 and 1916 (1880 map). 1912 map (audit): the 1901 extension ended in a loop around the block at 15th St SE.</t>
  </si>
  <si>
    <t xml:space="preserve">WP; MPD; CRF</t>
  </si>
  <si>
    <t xml:space="preserve">L02, L05, L18, L22, L32, L34, L36, L56</t>
  </si>
  <si>
    <t xml:space="preserve">type=chronology
name=Pennsylvania Avenue line (Georgetown–Navy Yard)
network=Washington, D.C. streetcars
operator=Washington &amp; Georgetown Railroad
start_date=1862
end_date=1962
ref:streetcar_project=L01
ref=30;54
description=Later operators: Capital Traction (1895); Capital Transit (1933); D.C. Transit (1956)
source=WP; MPD; CRF
Dated route relations in this chronology:
1862–1875: 24 ways; operator=Washington &amp; Georgetown Railroad; railway:traction=horse
1875–1892: 25 ways; operator=Washington &amp; Georgetown Railroad; railway:traction=horse
1892–1895: 25 ways; operator=Washington &amp; Georgetown Railroad; railway:traction=cable
1895–1898: 28 ways; operator=Capital Traction; railway:traction=cable
1898–1901: 28 ways; operator=Capital Traction; railway:traction=electric
1901–1916: 30 ways; operator=Capital Traction; railway:traction=electric
1916–1934: 29 ways; operator=Capital Traction; railway:traction=electric
1934–1936: 29 ways; operator=Capital Transit; railway:traction=electric
1936–1956: 31 ways; operator=Capital Transit; railway:traction=electric
1956–1960: 31 ways; operator=D.C. Transit; railway:traction=electric
1960–1962: 29 ways; operator=D.C. Transit; railway:traction=electric</t>
  </si>
  <si>
    <t xml:space="preserve">L02</t>
  </si>
  <si>
    <t xml:space="preserve">7th Street line</t>
  </si>
  <si>
    <t xml:space="preserve">7th St NW/SW from Boundary St (Florida Ave) to the Potomac wharves; extended to the Arsenal (Fort McNair) in 1875; ran along M St SW to 7th St</t>
  </si>
  <si>
    <t xml:space="preserve">Capital Traction (1895); Capital Transit; D.C. Transit</t>
  </si>
  <si>
    <t xml:space="preserve">Horse → cable (May 12, 1890, DC's first cable line) → horse after 1897 fire → electric conduit (1898)</t>
  </si>
  <si>
    <t xml:space="preserve">1890</t>
  </si>
  <si>
    <t xml:space="preserve">70 (7th St–Georgia Ave); 76, 78 (to wharves, 1936)</t>
  </si>
  <si>
    <t xml:space="preserve">Jan 3, 1960</t>
  </si>
  <si>
    <t xml:space="preserve">Bus route 70</t>
  </si>
  <si>
    <t xml:space="preserve">Opened Nov 15, 1862. DC's first cable line (Apr 12, 1890 per Wikipedia; May 12 per NRHP). Electrified May 26, 1898. Cable powerhouse at P &amp; Water Sts SW. 1912 map: south of M St the line ran along the old Water St beside the Washington Channel to P St and the Arsenal gate (the modern Maine Ave and Wharf streets are drawn differently, so this stretch is drawn straight).</t>
  </si>
  <si>
    <t xml:space="preserve">WP; MPD; CRF; GDC</t>
  </si>
  <si>
    <t xml:space="preserve">L01, L08, L18, L22, L34</t>
  </si>
  <si>
    <t xml:space="preserve">type=chronology
name=7th Street line
network=Washington, D.C. streetcars
operator=Washington &amp; Georgetown Railroad
start_date=1862
end_date=1960
ref:streetcar_project=L02
ref=70;76;78
description=Later operators: Capital Traction (1895); Capital Transit; D.C. Transit
source=WP; MPD; CRF; GDC
Dated route relations in this chronology:
1862–1875: 15 ways; operator=Washington &amp; Georgetown Railroad; railway:traction=horse
1875–1890: 17 ways; operator=Washington &amp; Georgetown Railroad; railway:traction=horse
1890–1895: 17 ways; operator=Washington &amp; Georgetown Railroad; railway:traction=cable
1895–1898: 17 ways; operator=Capital Traction; railway:traction=cable
1898–1934: 17 ways; operator=Capital Traction; railway:traction=electric
1934–1941: 17 ways; operator=Capital Transit; railway:traction=electric
1941–1956: 27 ways; operator=Capital Transit; railway:traction=electric
1956–1960: 27 ways; operator=D.C. Transit; railway:traction=electric</t>
  </si>
  <si>
    <t xml:space="preserve">L03</t>
  </si>
  <si>
    <t xml:space="preserve">14th Street line</t>
  </si>
  <si>
    <t xml:space="preserve">14th St NW from Boundary St to the Treasury (15th St &amp; New York Ave); extended up the hill to Park Rd (Mount Pleasant) c.1892–95; extended to Colorado Ave 1906–07 (Decatur St car barn); Colorado Ave terminal by 1937</t>
  </si>
  <si>
    <t xml:space="preserve">Horse → cable (1892; CRF lists 1895) → electric conduit (1898)</t>
  </si>
  <si>
    <t xml:space="preserve">50 (to Bureau of Engraving); 52; 54 (to Navy Yard)</t>
  </si>
  <si>
    <t xml:space="preserve">Jan 28, 1962 (last line in DC)</t>
  </si>
  <si>
    <t xml:space="preserve">Bus routes 50s</t>
  </si>
  <si>
    <t xml:space="preserve">Electrified Feb 27, 1898. First PCC cars Aug 1937. Last scheduled run left 14th &amp; Colorado 2:17 am, Jan 28, 1962.</t>
  </si>
  <si>
    <t xml:space="preserve">L15</t>
  </si>
  <si>
    <t xml:space="preserve">type=chronology
name=14th Street line
network=Washington, D.C. streetcars
operator=Washington &amp; Georgetown Railroad
start_date=1862
end_date=1962
ref:streetcar_project=L03
ref=50;52;54
description=Later operators: Capital Traction (1895); Capital Transit; D.C. Transit
source=WP; MPD; CRF
Dated route relations in this chronology:
1862–1892: 4 ways; operator=Washington &amp; Georgetown Railroad; railway:traction=horse
1892–1895: 5 ways; operator=Washington &amp; Georgetown Railroad; railway:traction=cable
1895–1898: 5 ways; operator=Capital Traction; railway:traction=cable
1898–1906: 5 ways; operator=Capital Traction; railway:traction=electric
1906–1907: 6 ways; operator=Capital Traction; railway:traction=electric
1907–1934: 7 ways; operator=Capital Traction; railway:traction=electric
1934–1956: 7 ways; operator=Capital Transit; railway:traction=electric
1956–1962: 7 ways; operator=D.C. Transit; railway:traction=electric</t>
  </si>
  <si>
    <t xml:space="preserve">L04</t>
  </si>
  <si>
    <t xml:space="preserve">Georgetown–B&amp;O Depot (Capitol Hill) line</t>
  </si>
  <si>
    <t xml:space="preserve">Georgetown to the B&amp;O depot at New Jersey Ave &amp; C St NW; later Mount Pleasant–B&amp;O Depot via Pennsylvania Ave and 14th St (cable era)</t>
  </si>
  <si>
    <t xml:space="preserve">Capital Traction (1895)</t>
  </si>
  <si>
    <t xml:space="preserve">Horse → cable → electric</t>
  </si>
  <si>
    <t xml:space="preserve">—</t>
  </si>
  <si>
    <t xml:space="preserve">Absorbed into other routes (depot razed after 1907)</t>
  </si>
  <si>
    <t xml:space="preserve">One of four W&amp;G services in 1863 (21 cars).</t>
  </si>
  <si>
    <t xml:space="preserve">MPD</t>
  </si>
  <si>
    <t xml:space="preserve">L22, L55, L58</t>
  </si>
  <si>
    <t xml:space="preserve">type=chronology
name=Georgetown–B&amp;O Depot (Capitol Hill) line
network=Washington, D.C. streetcars
operator=Washington &amp; Georgetown Railroad
start_date=1862
end_date=1908
ref:streetcar_project=L04
end_date:edtf=1908~
description=Later operators: Capital Traction (1895)
source=MPD
Dated route relations in this chronology:
1862–1892: 6 ways; operator=Washington &amp; Georgetown Railroad; railway:traction=horse
1892–1895: 6 ways; operator=Washington &amp; Georgetown Railroad; railway:traction=cable
1895–1898: 6 ways; operator=Capital Traction; railway:traction=cable
1898–1908: 6 ways; operator=Capital Traction; railway:traction=electric</t>
  </si>
  <si>
    <t xml:space="preserve">L05</t>
  </si>
  <si>
    <t xml:space="preserve">Metropolitan main line (Capitol–War Dept; later F St/D St line)</t>
  </si>
  <si>
    <t xml:space="preserve">Charter route (1864): A St &amp; New Jersey Ave via D, C, Indiana Ave, 5th, F and 14th Sts. As built (Jan 1865): Capitol to 14th &amp; I Sts NW, plus H St NW from Massachusetts Ave to 17th St</t>
  </si>
  <si>
    <t xml:space="preserve">Metropolitan Railroad</t>
  </si>
  <si>
    <t xml:space="preserve">Washington Traction &amp; Electric (1899); WRECo (1902); Capital Transit; D.C. Transit</t>
  </si>
  <si>
    <t xml:space="preserve">Horse → electric conduit (1896)</t>
  </si>
  <si>
    <t xml:space="preserve">1865</t>
  </si>
  <si>
    <t xml:space="preserve">1896</t>
  </si>
  <si>
    <t xml:space="preserve">42 (Mt. Pleasant); D6 bus later</t>
  </si>
  <si>
    <t xml:space="preserve">Dec 3, 1961</t>
  </si>
  <si>
    <t xml:space="preserve">Bus D6 / 42</t>
  </si>
  <si>
    <t xml:space="preserve">CRF dates horse service 1865. 1912 map: a link ran along Indiana Ave from D St to C St at 1st St NW.</t>
  </si>
  <si>
    <t xml:space="preserve">type=chronology
name=Metropolitan main line (Capitol–War Dept; later F St/D St line)
network=Washington, D.C. streetcars
operator=Metropolitan Railroad
start_date=1865
end_date=1961
ref:streetcar_project=L05
ref=42
description=Later operators: Washington Traction &amp; Electric (1899); WRECo (1902); Capital Transit; D.C. Transit
source=WP; MPD; CRF
Dated route relations in this chronology:
1865–1896: 22 ways; operator=Metropolitan Railroad; railway:traction=horse
1896–1902: 22 ways; operator=Metropolitan Railroad; railway:traction=electric
1902–1934: 22 ways; operator=Washington Railway &amp; Electric; railway:traction=electric
1934–1956: 22 ways; operator=Capital Transit; railway:traction=electric
1956–1961: 22 ways; operator=D.C. Transit; railway:traction=electric</t>
  </si>
  <si>
    <t xml:space="preserve">L06</t>
  </si>
  <si>
    <t xml:space="preserve">9th Street line</t>
  </si>
  <si>
    <t xml:space="preserve">9th St NW north from M St to Boundary St, joining the Boundary &amp; Silver Spring line</t>
  </si>
  <si>
    <t xml:space="preserve">WRECo (1902); Capital Transit</t>
  </si>
  <si>
    <t xml:space="preserve">Horse (1872) → first underground-conduit electric line in DC (1895)</t>
  </si>
  <si>
    <t xml:space="preserve">1872</t>
  </si>
  <si>
    <t xml:space="preserve">1895</t>
  </si>
  <si>
    <t xml:space="preserve">1933 (NRHP) or 1936 (Ghosts of DC)</t>
  </si>
  <si>
    <t xml:space="preserve">Buses</t>
  </si>
  <si>
    <t xml:space="preserve">Sources disagree on the conversion year: NRHP says 1933 with the rebuilding of 9th St; Ghosts of DC says cars were pulled in 1936. Map: 9th St track continued south to Pennsylvania Ave (1912 map); route 40 ran via 9th St, Pennsylvania Ave and C St NW in 1946. 1912 map: north of Florida Ave the 9th St track curved northwest to join the 11th St line near Kenyon St (date of this curve not documented).</t>
  </si>
  <si>
    <t xml:space="preserve">MPD; GDC</t>
  </si>
  <si>
    <t xml:space="preserve">L15, L31</t>
  </si>
  <si>
    <t xml:space="preserve">type=chronology
name=9th Street line
network=Washington, D.C. streetcars
operator=Metropolitan Railroad
start_date=1872
end_date=1961
ref:streetcar_project=L06
description=Later operators: WRECo (1902); Capital Transit
source=MPD; GDC
Dated route relations in this chronology:
1872–1895: 11 ways; operator=Metropolitan Railroad; railway:traction=horse
1895–1902: 11 ways; operator=Metropolitan Railroad; railway:traction=electric
1902–1933: 11 ways; operator=Washington Railway &amp; Electric; railway:traction=electric
1936–1961: 1 ways; operator=Capital Transit; railway:traction=electric</t>
  </si>
  <si>
    <t xml:space="preserve">L07</t>
  </si>
  <si>
    <t xml:space="preserve">P Street / Georgetown line</t>
  </si>
  <si>
    <t xml:space="preserve">P St NW west from Dupont Circle to Georgetown (36th &amp; Prospect St), built under the Union Railroad charter; completed 1880</t>
  </si>
  <si>
    <t xml:space="preserve">Metropolitan Railroad (Union Railroad charter)</t>
  </si>
  <si>
    <t xml:space="preserve">WRECo; Capital Transit</t>
  </si>
  <si>
    <t xml:space="preserve">Horse → battery trials (1891–93) → electric conduit (1896)</t>
  </si>
  <si>
    <t xml:space="preserve">1873</t>
  </si>
  <si>
    <t xml:space="preserve">— (bus G2)</t>
  </si>
  <si>
    <t xml:space="preserve">June 16, 1935</t>
  </si>
  <si>
    <t xml:space="preserve">Bus G2</t>
  </si>
  <si>
    <t xml:space="preserve">Union RR absorbed Aug–Nov 1872 without authority. Georgetown loop on P, 36th, Prospect and 35th Sts authorized 1895. Rails remain on O &amp; P Sts between 33rd and 35th Sts NW. Map: the Georgetown P and O St loop west of Wisconsin Ave stayed in use for Cabin John cars until 1960 (1958 trackage map). 1912 map: a loop east of Wisconsin Ave ran via P St, 28th St and Dumbarton St. 1912 map (Georgetown): cars ran out P St to 36th St, down to the car barn at Prospect St, along Prospect and up 35th St, then east on O St across Wisconsin Ave into Dumbarton St and back up 28th St. The original 1873 loop used P, 35th, O and 33rd Sts; the O St and P St loop west of Wisconsin was later the Cabin John cars' terminal (1935–60, from the 1958 trackage map).</t>
  </si>
  <si>
    <t xml:space="preserve">L36, L39</t>
  </si>
  <si>
    <t xml:space="preserve">type=chronology
name=P Street / Georgetown line
network=Washington, D.C. streetcars
operator=Metropolitan Railroad (Union Railroad charter)
start_date=1873
end_date=1935
ref:streetcar_project=L07
description=Later operators: WRECo; Capital Transit
source=WP; MPD; CRF
Dated route relations in this chronology:
1873–1896: 10 ways; operator=Metropolitan Railroad; railway:traction=horse
1896–1902: 10 ways; operator=Metropolitan Railroad; railway:traction=electric
1902–1934: 10 ways; operator=Washington Railway &amp; Electric; railway:traction=electric
1934–1935: 10 ways; operator=Capital Transit; railway:traction=electric</t>
  </si>
  <si>
    <t xml:space="preserve">L08</t>
  </si>
  <si>
    <t xml:space="preserve">4th Street NW/SW line</t>
  </si>
  <si>
    <t xml:space="preserve">4½ St (now 4th St) SW from Missouri Ave to P St SW / Arsenal; reached via unauthorized tracks on B St, 6th St and Missouri Ave</t>
  </si>
  <si>
    <t xml:space="preserve">Horse → electric (1895)</t>
  </si>
  <si>
    <t xml:space="preserve">— (buses V2/M2)</t>
  </si>
  <si>
    <t xml:space="preserve">1930s</t>
  </si>
  <si>
    <t xml:space="preserve">Bus M2</t>
  </si>
  <si>
    <t xml:space="preserve">CRF gives '1930s' only; end year approximate. Map: reached 4½ St via 9th St, B St (Constitution Ave), 6th St and Missouri Ave (1880 and 1912 maps). 1912 map: 4½ St is today's 4th St SW; the line ran down Missouri Ave from 6th &amp; B Sts onto it.</t>
  </si>
  <si>
    <t xml:space="preserve">WP; CRF</t>
  </si>
  <si>
    <t xml:space="preserve">L02, L18</t>
  </si>
  <si>
    <t xml:space="preserve">type=chronology
name=4th Street NW/SW line
network=Washington, D.C. streetcars
operator=Metropolitan Railroad
start_date=1872
end_date=1935
ref:streetcar_project=L08
description=Later operators: WRECo; Capital Transit
source=WP; CRF
Dated route relations in this chronology:
1872–1895: 7 ways; operator=Metropolitan Railroad; railway:traction=horse
1895–1902: 7 ways; operator=Metropolitan Railroad; railway:traction=electric
1902–1934: 7 ways; operator=Washington Railway &amp; Electric; railway:traction=electric
1934–1935: 7 ways; operator=Capital Transit; railway:traction=electric</t>
  </si>
  <si>
    <t xml:space="preserve">L09</t>
  </si>
  <si>
    <t xml:space="preserve">East Capitol Street line</t>
  </si>
  <si>
    <t xml:space="preserve">East Capitol St to 9th St (by 1888); extended 1896 to the East Capitol St car barn / Lincoln Park loop (1400 East Capitol St)</t>
  </si>
  <si>
    <t xml:space="preserve">WRECo; Capital Transit; D.C. Transit</t>
  </si>
  <si>
    <t xml:space="preserve">40 (Lincoln Park); 96 bus later</t>
  </si>
  <si>
    <t xml:space="preserve">Jan 28, 1962</t>
  </si>
  <si>
    <t xml:space="preserve">Bus 96</t>
  </si>
  <si>
    <t xml:space="preserve">One of the last two car barns in service (Lincoln Park). Map: reached East Capitol St via C St, Delaware Ave, B St (Constitution Ave) and 1st St NE (1880 map). 1912 map: tracks ran around both sides of Lincoln Park and ended in a loop around the block east of the park.</t>
  </si>
  <si>
    <t xml:space="preserve">L34, L55</t>
  </si>
  <si>
    <t xml:space="preserve">type=chronology
name=East Capitol Street line
network=Washington, D.C. streetcars
operator=Metropolitan Railroad
start_date=1872
end_date=1962
ref:streetcar_project=L09
ref=40;96
description=Later operators: WRECo; Capital Transit; D.C. Transit
source=WP; MPD; CRF
Dated route relations in this chronology:
1872–1896: 6 ways; operator=Metropolitan Railroad; railway:traction=horse
1896–1902: 11 ways; operator=Metropolitan Railroad; railway:traction=electric
1902–1934: 11 ways; operator=Washington Railway &amp; Electric; railway:traction=electric
1934–1956: 11 ways; operator=Capital Transit; railway:traction=electric
1956–1962: 11 ways; operator=D.C. Transit; railway:traction=electric</t>
  </si>
  <si>
    <t xml:space="preserve">L10</t>
  </si>
  <si>
    <t xml:space="preserve">Connecticut Avenue line (south)</t>
  </si>
  <si>
    <t xml:space="preserve">Connecticut Ave from 17th St &amp; New York Ave / White House north to Boundary St (Florida Ave)</t>
  </si>
  <si>
    <t xml:space="preserve">Connecticut Avenue &amp; Park Railway (chartered 1868)</t>
  </si>
  <si>
    <t xml:space="preserve">Metropolitan (1874); WRECo; Capital Transit; D.C. Transit</t>
  </si>
  <si>
    <t xml:space="preserve">Horse (April 1873) → electric (1896)</t>
  </si>
  <si>
    <t xml:space="preserve">42, 44</t>
  </si>
  <si>
    <t xml:space="preserve">Bus 42</t>
  </si>
  <si>
    <t xml:space="preserve">Horsecars ran only to P St in 1873; the track north to Florida Ave was paved over and then revived as a shuttle in 1883. Dupont Circle underpass opened Nov 2, 1949. Conflict: the 1880 statistical map shows track on Connecticut Ave to S St, although Tindall and Wikipedia say the section north of P St was paved over until 1883. 1912 map: the line ran on 17th St between H St and K St, joining Connecticut Ave at Farragut Square.</t>
  </si>
  <si>
    <t xml:space="preserve">WP; MPD; CRF; MAP1880</t>
  </si>
  <si>
    <t xml:space="preserve">type=chronology
name=Connecticut Avenue line (south)
network=Washington, D.C. streetcars
operator=Connecticut Avenue &amp; Park Railway (chartered 1868)
start_date=1873
end_date=1961
ref:streetcar_project=L10
ref=42;44
description=Later operators: Metropolitan (1874); WRECo; Capital Transit; D.C. Transit
source=WP; MPD; CRF; MAP1880
Dated route relations in this chronology:
1873–1883: 2 ways; operator=Connecticut Avenue &amp; Park Railway; railway:traction=horse
1883–1896: 4 ways; operator=Connecticut Avenue &amp; Park Railway; railway:traction=horse
1896–1902: 4 ways; operator=Connecticut Avenue &amp; Park Railway; railway:traction=electric
1902–1934: 4 ways; operator=Washington Railway &amp; Electric; railway:traction=electric
1934–1956: 4 ways; operator=Capital Transit; railway:traction=electric
1956–1961: 4 ways; operator=D.C. Transit; railway:traction=electric</t>
  </si>
  <si>
    <t xml:space="preserve">L11</t>
  </si>
  <si>
    <t xml:space="preserve">Mount Pleasant extension</t>
  </si>
  <si>
    <t xml:space="preserve">Columbia Rd from Connecticut &amp; Florida Aves to 18th St (1897), then Columbia Rd east to 'old Sixteenth St' (today's Mount Pleasant St) and north to Park St (1900)</t>
  </si>
  <si>
    <t xml:space="preserve">Electric</t>
  </si>
  <si>
    <t xml:space="preserve">1900</t>
  </si>
  <si>
    <t xml:space="preserve">42 (Mt. Pleasant)</t>
  </si>
  <si>
    <t xml:space="preserve">Bus 42/43</t>
  </si>
  <si>
    <t xml:space="preserve">Authorized Feb 27, 1897; service began June 6, 1900 (the earlier 1896 date was wrong).</t>
  </si>
  <si>
    <t xml:space="preserve">WP-Metro; TIN; LAWS; CRF</t>
  </si>
  <si>
    <t xml:space="preserve">type=chronology
name=Mount Pleasant extension
network=Washington, D.C. streetcars
operator=Metropolitan Railroad
start_date=1900
end_date=1961
ref:streetcar_project=L11
ref=42
description=Later operators: WRECo; Capital Transit; D.C. Transit
source=WP-Metro; TIN; LAWS; CRF
Dated route relations in this chronology:
1900–1902: 2 ways; operator=Metropolitan Railroad; railway:traction=electric
1902–1934: 2 ways; operator=Washington Railway &amp; Electric; railway:traction=electric
1934–1956: 2 ways; operator=Capital Transit; railway:traction=electric
1956–1961: 2 ways; operator=D.C. Transit; railway:traction=electric</t>
  </si>
  <si>
    <t xml:space="preserve">L12</t>
  </si>
  <si>
    <t xml:space="preserve">Georgia Avenue (7th St Extended / Brightwood) line</t>
  </si>
  <si>
    <t xml:space="preserve">Georgia Ave (Brightwood Ave) from Florida Ave to Rock Creek Church Rd (horse, 1873), then to Brightwood and the Silver Spring district line</t>
  </si>
  <si>
    <t xml:space="preserve">Boundary &amp; Silver Spring Railway (chartered 1872; bought by Metropolitan Dec 1872)</t>
  </si>
  <si>
    <t xml:space="preserve">Brightwood Railway (1888/1890); WRECo; Capital Transit; D.C. Transit</t>
  </si>
  <si>
    <t xml:space="preserve">Horse → Judson pneumatic trial (1889–90, failed) → overhead electric ordered 1892 → underground conduit ordered 1898</t>
  </si>
  <si>
    <t xml:space="preserve">70 (Georgia Ave to Brightwood)</t>
  </si>
  <si>
    <t xml:space="preserve">Bus 70</t>
  </si>
  <si>
    <t xml:space="preserve">CRF gives electric 1890; Wikipedia says Congress ordered overhead electric in 1892. The 1880 map (and Berman's 2019 redraw) labels the city end of this line 'Pleasant Plains', possibly because the map stops at the city limit.</t>
  </si>
  <si>
    <t xml:space="preserve">L41</t>
  </si>
  <si>
    <t xml:space="preserve">type=chronology
name=Georgia Avenue (7th St Extended / Brightwood) line
network=Washington, D.C. streetcars
operator=Boundary &amp; Silver Spring Railway (chartered 1872; bought by Metropolitan Dec 1872)
start_date=1873
end_date=1960
ref:streetcar_project=L12
ref=70
description=Later operators: Brightwood Railway (1888/1890); WRECo; Capital Transit; D.C. Transit
source=WP; MPD; CRF
Dated route relations in this chronology:
1873–1890: 4 ways; operator=Boundary &amp; Silver Spring Railway; railway:traction=horse
1890–1893: 7 ways; operator=Boundary &amp; Silver Spring Railway; railway:traction=electric
1893–1902: 10 ways; operator=Boundary &amp; Silver Spring Railway; railway:traction=electric
1902–1934: 10 ways; operator=Washington Railway &amp; Electric; railway:traction=electric
1934–1956: 10 ways; operator=Capital Transit; railway:traction=electric
1956–1960: 10 ways; operator=D.C. Transit; railway:traction=electric</t>
  </si>
  <si>
    <t xml:space="preserve">L13</t>
  </si>
  <si>
    <t xml:space="preserve">Takoma branch (Brightwood Railway)</t>
  </si>
  <si>
    <t xml:space="preserve">Georgia Ave to Butternut St (then Umatilla St) and 4th St NW, Takoma Park</t>
  </si>
  <si>
    <t xml:space="preserve">Brightwood Railway</t>
  </si>
  <si>
    <t xml:space="preserve">72 (Georgia Ave–Takoma)</t>
  </si>
  <si>
    <t xml:space="preserve">Bus 52/54</t>
  </si>
  <si>
    <t xml:space="preserve">type=chronology
name=Takoma branch (Brightwood Railway)
network=Washington, D.C. streetcars
operator=Brightwood Railway
start_date=1893
end_date=1960
ref:streetcar_project=L13
ref=72
description=Later operators: WRECo; Capital Transit; D.C. Transit
source=WP; CRF
Dated route relations in this chronology:
1893–1902: 1 ways; operator=Brightwood Railway; railway:traction=electric
1902–1934: 1 ways; operator=Washington Railway &amp; Electric; railway:traction=electric
1934–1956: 1 ways; operator=Capital Transit; railway:traction=electric
1956–1960: 1 ways; operator=D.C. Transit; railway:traction=electric</t>
  </si>
  <si>
    <t xml:space="preserve">L14</t>
  </si>
  <si>
    <t xml:space="preserve">Soldiers' Home / Upshur Street line</t>
  </si>
  <si>
    <t xml:space="preserve">Soldiers' Home by a route off Georgia Ave; CRF also lists an Upshur St line on old route 74</t>
  </si>
  <si>
    <t xml:space="preserve">WRECo predecessor (not identified)</t>
  </si>
  <si>
    <t xml:space="preserve">1893</t>
  </si>
  <si>
    <t xml:space="preserve">74</t>
  </si>
  <si>
    <t xml:space="preserve">Bus 60</t>
  </si>
  <si>
    <t xml:space="preserve">The original builder isn't named in the sources checked.</t>
  </si>
  <si>
    <t xml:space="preserve">CRF; GDC</t>
  </si>
  <si>
    <t xml:space="preserve">type=chronology
name=Soldiers' Home / Upshur Street line
network=Washington, D.C. streetcars
operator=WRECo predecessor (not identified)
start_date=1893
end_date=1960
ref:streetcar_project=L14
ref=74
description=Later operators: WRECo; Capital Transit; D.C. Transit
source=CRF; GDC
Dated route relations in this chronology:
1893–1902: 1 ways; operator=WRECo predecessor; railway:traction=electric
1902–1934: 1 ways; operator=Washington Railway &amp; Electric; railway:traction=electric
1934–1956: 1 ways; operator=Capital Transit; railway:traction=electric
1956–1960: 1 ways; operator=D.C. Transit; railway:traction=electric</t>
  </si>
  <si>
    <t xml:space="preserve">Columbia Railway – H Street line</t>
  </si>
  <si>
    <t xml:space="preserve">Charter route: 15th St &amp; New York Ave NW via New York Ave, K St, Massachusetts Ave and H St NW/NE to 15th St NE</t>
  </si>
  <si>
    <t xml:space="preserve">Columbia Railway</t>
  </si>
  <si>
    <t xml:space="preserve">Washington Traction &amp; Electric (1899); WRECo (1902); Capital Transit</t>
  </si>
  <si>
    <t xml:space="preserve">Horse → cable (Mar 9, 1895; the last cable line built in the US) → electric (July 22, 1899)</t>
  </si>
  <si>
    <t xml:space="preserve">1870/1871</t>
  </si>
  <si>
    <t xml:space="preserve">1899</t>
  </si>
  <si>
    <t xml:space="preserve">10 (Rosslyn–Benning via H St)</t>
  </si>
  <si>
    <t xml:space="preserve">May 1, 1949</t>
  </si>
  <si>
    <t xml:space="preserve">Bus X2</t>
  </si>
  <si>
    <t xml:space="preserve">The last cable car in DC ran July 23, 1899. Revived as the DC Streetcar (2016–2026). Tundria: H St–Benning Rd track closed May 1, 1949.</t>
  </si>
  <si>
    <t xml:space="preserve">L03, L06</t>
  </si>
  <si>
    <t xml:space="preserve">type=chronology
name=Columbia Railway – H Street line
network=Washington, D.C. streetcars
operator=Columbia Railway
start_date=1870
end_date=1949
ref:streetcar_project=L15
ref=10
description=Later operators: Washington Traction &amp; Electric (1899); WRECo (1902); Capital Transit
source=WP; MPD; CRF
Dated route relations in this chronology:
1870–1895: 13 ways; operator=Columbia Railway; railway:traction=horse
1895–1899: 13 ways; operator=Columbia Railway; railway:traction=cable
1899–1902: 13 ways; operator=Columbia Railway; railway:traction=electric
1902–1934: 13 ways; operator=Washington Railway &amp; Electric; railway:traction=electric
1934–1949: 13 ways; operator=Capital Transit; railway:traction=electric</t>
  </si>
  <si>
    <t xml:space="preserve">L16</t>
  </si>
  <si>
    <t xml:space="preserve">Benning Road – Kenilworth branch</t>
  </si>
  <si>
    <t xml:space="preserve">Benning Rd NE east from 15th &amp; H NE across the Anacostia to Kenilworth</t>
  </si>
  <si>
    <t xml:space="preserve">10</t>
  </si>
  <si>
    <t xml:space="preserve">Bus V8 / X2</t>
  </si>
  <si>
    <t xml:space="preserve">Benning Rd car barn built 1941. 1912 map (audit): the branch left Benning Rd just west of Minnesota Ave and ran northeast on its own alignment to Kenilworth; redrawn.</t>
  </si>
  <si>
    <t xml:space="preserve">WP; CRF; MPD</t>
  </si>
  <si>
    <t xml:space="preserve">L17, V08</t>
  </si>
  <si>
    <t xml:space="preserve">type=chronology
name=Benning Road – Kenilworth branch
network=Washington, D.C. streetcars
operator=Columbia Railway
start_date=1898
end_date=1949
ref:streetcar_project=L16
ref=10
description=Later operators: WRECo; Capital Transit
source=WP; CRF; MPD
Dated route relations in this chronology:
1898–1902: 6 ways; operator=Columbia Railway; railway:traction=electric
1902–1934: 6 ways; operator=Washington Railway &amp; Electric; railway:traction=electric
1934–1949: 6 ways; operator=Capital Transit; railway:traction=electric</t>
  </si>
  <si>
    <t xml:space="preserve">L17</t>
  </si>
  <si>
    <t xml:space="preserve">Seat Pleasant branch</t>
  </si>
  <si>
    <t xml:space="preserve">Benning Rd to Deanwood Junction and Seat Pleasant, MD (connection with the Chesapeake Beach Railway)</t>
  </si>
  <si>
    <t xml:space="preserve">DC/MD</t>
  </si>
  <si>
    <t xml:space="preserve">1898/1900</t>
  </si>
  <si>
    <t xml:space="preserve">12 (Seat Pleasant)</t>
  </si>
  <si>
    <t xml:space="preserve">May 1, 1949 (Wikipedia: Kenilworth–Seat Pleasant bus substitution 1948)</t>
  </si>
  <si>
    <t xml:space="preserve">Bus U8</t>
  </si>
  <si>
    <t xml:space="preserve">Seat Pleasant loop built 1945. 1912 map: ran from Benning Rd up Minnesota Ave and east along Deane Ave (today's Nannie Helen Burroughs Ave) and Dix St to the District line, matching Berman's 1942 map. 1912 map (audit): shared the Kenilworth branch alignment from Benning Rd, then ran straight along Deane Ave (Nannie Helen Burroughs Ave) to the District line; redrawn.</t>
  </si>
  <si>
    <t xml:space="preserve">L16, V08</t>
  </si>
  <si>
    <t xml:space="preserve">type=chronology
name=Seat Pleasant branch
network=Washington, D.C. streetcars
operator=Columbia Railway
start_date=1900
end_date=1949
ref:streetcar_project=L17
ref=12
description=Later operators: WRECo; Capital Transit
source=WP; MPD; CRF
Dated route relations in this chronology:
1900–1902: 4 ways; operator=Columbia Railway; railway:traction=electric
1902–1934: 4 ways; operator=Washington Railway &amp; Electric; railway:traction=electric
1934–1949: 4 ways; operator=Capital Transit; railway:traction=electric</t>
  </si>
  <si>
    <t xml:space="preserve">L18</t>
  </si>
  <si>
    <t xml:space="preserve">Anacostia &amp; Potomac River Railroad main line</t>
  </si>
  <si>
    <t xml:space="preserve">Along M St from the Maine Ave/M St waterfront to 11th St SE, across the Navy Yard Bridge to Uniontown (Nichols Ave &amp; V St SE), as mapped in 1880. 1888: extensions toward Congressional Cemetery and Center Market; Nichols Ave toward St. Elizabeths (Government Hospital for the Insane)</t>
  </si>
  <si>
    <t xml:space="preserve">Anacostia &amp; Potomac River Railroad</t>
  </si>
  <si>
    <t xml:space="preserve">WRECo (controlling stock 1912); Capital Transit</t>
  </si>
  <si>
    <t xml:space="preserve">Horse → electric (April 1900, the last horse line in DC)</t>
  </si>
  <si>
    <t xml:space="preserve">1875</t>
  </si>
  <si>
    <t xml:space="preserve">— (Anacostia service later part of routes 54/A2 corridor)</t>
  </si>
  <si>
    <t xml:space="preserve">Between 1924 and 1942 (still drawn on the 1924 Rand McNally map; nothing crosses the Anacostia on the 1942 map)</t>
  </si>
  <si>
    <t xml:space="preserve">First line to cross the Anacostia River. Probably ended with the 1935 Anacostia conversions, but no source confirms it. Map: the 1888 Center Market branch (G St, 4th St, E St and Canal St SE) is drawn on the 1912 map. 1912 map: the line ran up 11th St SE to G St; there is no track on M St SE, on 7th St SE, or on G St east of 11th St, so those sections are drawn only to 1900 (estimated). 1912 map: the Center Market branch ran up Canal St, west on Maryland Ave, north on 4½ St and along Missouri Ave and B St to 7th St. 1912 map: M St SW between the waterfront and 4½ St was still in use.</t>
  </si>
  <si>
    <t xml:space="preserve">WP; MPD; MAP1880; MAP1910; MAP1924; MAP1942</t>
  </si>
  <si>
    <t xml:space="preserve">L01, L02, L08, L22</t>
  </si>
  <si>
    <t xml:space="preserve">type=chronology
name=Anacostia &amp; Potomac River Railroad main line
network=Washington, D.C. streetcars
operator=Anacostia &amp; Potomac River Railroad
start_date=1875
end_date=1935
ref:streetcar_project=L18
end_date:edtf=1935~
ref=54
description=Later operators: WRECo (controlling stock 1912); Capital Transit
source=WP; MPD; MAP1880; MAP1910; MAP1924; MAP1942
Dated route relations in this chronology:
1875–1888: 7 ways; operator=Anacostia &amp; Potomac River Railroad; railway:traction=horse
1888–1900: 21 ways; operator=Anacostia &amp; Potomac River Railroad; railway:traction=horse
1900–1912: 16 ways; operator=Anacostia &amp; Potomac River Railroad; railway:traction=electric
1912–1934: 16 ways; operator=Washington Railway &amp; Electric; railway:traction=electric
1934–1935: 16 ways; operator=Capital Transit; railway:traction=electric</t>
  </si>
  <si>
    <t xml:space="preserve">L19</t>
  </si>
  <si>
    <t xml:space="preserve">11th Street line</t>
  </si>
  <si>
    <t xml:space="preserve">11th St: north to Boundary St and south to Water St SW (Belt, 1881); A&amp;PR extended it from F St NW to Florida Ave (1898) and by double track north on 11th St to Lydecker Ave (1902); later to 11th &amp; Monroe NW and through-routed to Anacostia</t>
  </si>
  <si>
    <t xml:space="preserve">Belt Railway (11th St line, 1881); extended by the A&amp;PR (1898)</t>
  </si>
  <si>
    <t xml:space="preserve">Washington Traction &amp; Electric; WRECo; Capital Transit; D.C. Transit</t>
  </si>
  <si>
    <t xml:space="preserve">Horse → electric (1900)</t>
  </si>
  <si>
    <t xml:space="preserve">60 (11th &amp; Monroe); 62; 64</t>
  </si>
  <si>
    <t xml:space="preserve">Bus 66</t>
  </si>
  <si>
    <t xml:space="preserve">MPD; CRF; GDC; LAWS</t>
  </si>
  <si>
    <t xml:space="preserve">L22</t>
  </si>
  <si>
    <t xml:space="preserve">type=chronology
name=11th Street line
network=Washington, D.C. streetcars
operator=Belt Railway (11th St line, 1881); extended by the A&amp;PR (1898)
start_date=1875
end_date=1961
ref:streetcar_project=L19
ref=60;62;64
description=Later operators: Washington Traction &amp; Electric; WRECo; Capital Transit; D.C. Transit
source=MPD; CRF; GDC; LAWS
Dated route relations in this chronology:
1875–1900: 8 ways; operator=Belt Railway; railway:traction=horse
1900–1902: 8 ways; operator=Belt Railway; railway:traction=electric
1902–1912: 10 ways; operator=Belt Railway; railway:traction=electric
1912–1934: 10 ways; operator=Washington Railway &amp; Electric; railway:traction=electric
1934–1956: 10 ways; operator=Capital Transit; railway:traction=electric
1956–1961: 10 ways; operator=D.C. Transit; railway:traction=electric</t>
  </si>
  <si>
    <t xml:space="preserve">L20</t>
  </si>
  <si>
    <t xml:space="preserve">Capital Railway – Anacostia–Congress Heights</t>
  </si>
  <si>
    <t xml:space="preserve">Navy Yard Bridge – Nichols Ave SE to Congress Heights (Upsal St by 1898); later extended past Alabama Ave to Sterling St SE</t>
  </si>
  <si>
    <t xml:space="preserve">Capital Railway (chartered Mar 2, 1895)</t>
  </si>
  <si>
    <t xml:space="preserve">A&amp;PR (1899); WRECo; Capital Transit</t>
  </si>
  <si>
    <t xml:space="preserve">Brown magnetic surface contact (1897, failed) and double-overhead on the bridge → electric</t>
  </si>
  <si>
    <t xml:space="preserve">— (bus A2)</t>
  </si>
  <si>
    <t xml:space="preserve">June 16, 1935 (CRF) / last car July 16, 1935 (Wikipedia)</t>
  </si>
  <si>
    <t xml:space="preserve">Bus A2</t>
  </si>
  <si>
    <t xml:space="preserve">Anacostia's first electric line.</t>
  </si>
  <si>
    <t xml:space="preserve">L21</t>
  </si>
  <si>
    <t xml:space="preserve">type=chronology
name=Capital Railway – Anacostia–Congress Heights
network=Washington, D.C. streetcars
operator=Capital Railway (chartered Mar 2, 1895)
start_date=1896
end_date=1935
ref:streetcar_project=L20
description=Later operators: A&amp;PR (1899); WRECo; Capital Transit
source=WP; MPD; CRF
Dated route relations in this chronology:
1896–1912: 10 ways; operator=Capital Railway; railway:traction=electric
1912–1934: 10 ways; operator=Washington Railway &amp; Electric; railway:traction=electric
1934–1935: 10 ways; operator=Capital Transit; railway:traction=electric</t>
  </si>
  <si>
    <t xml:space="preserve">Portland Street / Firth Sterling spur</t>
  </si>
  <si>
    <t xml:space="preserve">Nichols Ave along Portland St to the Firth Sterling Steel works (now part of Joint Base Anacostia-Bolling)</t>
  </si>
  <si>
    <t xml:space="preserve">WRECo</t>
  </si>
  <si>
    <t xml:space="preserve">Electric (single track, doubled 1916)</t>
  </si>
  <si>
    <t xml:space="preserve">1912</t>
  </si>
  <si>
    <t xml:space="preserve">Service suspended by 1923</t>
  </si>
  <si>
    <t xml:space="preserve">About one mile of track.</t>
  </si>
  <si>
    <t xml:space="preserve">type=chronology
name=Portland Street / Firth Sterling spur
network=Washington, D.C. streetcars
operator=WRECo
start_date=1912
end_date=1923
ref:streetcar_project=L21
source=MPD
Dated route relations in this chronology:
1912–1923: 10 ways; operator=Washington Railway &amp; Electric; railway:traction=electric</t>
  </si>
  <si>
    <t xml:space="preserve">Belt Railway loop</t>
  </si>
  <si>
    <t xml:space="preserve">Capitol – 1st St SW – Maryland &amp; Virginia Aves SW – 12th St – Ohio Ave – 14th St – O St NW (10 blocks east) – 4th St – G St – 1st St NW; P St NW westbound track (1876)</t>
  </si>
  <si>
    <t xml:space="preserve">Capitol, North O Street &amp; South Washington Railway (renamed Belt Railway 1893)</t>
  </si>
  <si>
    <t xml:space="preserve">Anacostia &amp; Potomac River (1898); WRECo</t>
  </si>
  <si>
    <t xml:space="preserve">Horse → compressed-air trial (1896) → electric conduit (1899)</t>
  </si>
  <si>
    <t xml:space="preserve">Absorbed into other routes; end date not stated</t>
  </si>
  <si>
    <t xml:space="preserve">8.5 miles of track. Car barn at 3rd &amp; B (Independence) Sts SW. 1912 map: the loop's south side ran along Maryland Ave SW from 12th St to the Capitol grounds. 1912 map: a branch ran down 11th St SW to the waterfront and along Water St to 7th St. 1912 map (audit): south of New York Ave the loop used New York Ave and 5th St to reach G St, not 4th St.</t>
  </si>
  <si>
    <t xml:space="preserve">WP; MPD</t>
  </si>
  <si>
    <t xml:space="preserve">L01, L02, L04, L18, L19, L33, L48, L51, L55, L58, V01</t>
  </si>
  <si>
    <t xml:space="preserve">type=chronology
name=Belt Railway loop
network=Washington, D.C. streetcars
operator=Capitol, North O Street &amp; South Washington Railway (renamed Belt Railway 1893)
start_date=1875
end_date=1933
ref:streetcar_project=L22
end_date:edtf=1933~
description=Later operators: Anacostia &amp; Potomac River (1898); WRECo
source=WP; MPD
Dated route relations in this chronology:
1875–1876: 40 ways; operator=Capitol, North O Street &amp; South Washington Railway; railway:traction=horse
1876–1899: 44 ways; operator=Capitol, North O Street &amp; South Washington Railway; railway:traction=horse
1899–1912: 44 ways; operator=Capitol, North O Street &amp; South Washington Railway; railway:traction=electric
1912–1933: 44 ways; operator=Washington Railway &amp; Electric; railway:traction=electric</t>
  </si>
  <si>
    <t xml:space="preserve">L23</t>
  </si>
  <si>
    <t xml:space="preserve">Eckington &amp; Soldiers' Home Railway</t>
  </si>
  <si>
    <t xml:space="preserve">Charter: New York Ave from 7th St to 3rd St NE, 3rd St to T St, T St to 4th St, 4th St to Bunker Hill Rd (Michigan Ave). As built: 7th &amp; New York Ave via Boundary St, Eckington Pl, R St, 3rd St and T St NE to the car barn at 4th &amp; T NE</t>
  </si>
  <si>
    <t xml:space="preserve">City &amp; Suburban (1898); WRECo; Capital Transit</t>
  </si>
  <si>
    <t xml:space="preserve">DC's first electric line (overhead, Oct 17, 1888) → batteries (1891–93) → horses → compressed air (1896) → conduit (1899)</t>
  </si>
  <si>
    <t xml:space="preserve">1888</t>
  </si>
  <si>
    <t xml:space="preserve">Not stated for the trunk</t>
  </si>
  <si>
    <t xml:space="preserve">2.5 miles. Also tried the Wheless and Willis magnetic surface-contact systems on North Capitol St. 1912 map: the Eckington loop used both 2nd and 3rd Sts NE between R and T Sts.</t>
  </si>
  <si>
    <t xml:space="preserve">L25</t>
  </si>
  <si>
    <t xml:space="preserve">type=chronology
name=Eckington &amp; Soldiers' Home Railway
network=Washington, D.C. streetcars
operator=Eckington &amp; Soldiers' Home Railway
start_date=1888
end_date=1958
ref:streetcar_project=L23
end_date:edtf=1958~
description=Later operators: City &amp; Suburban (1898); WRECo; Capital Transit
source=WP; MPD
Dated route relations in this chronology:
1888–1902: 10 ways; operator=Eckington &amp; Soldiers' Home Railway; railway:traction=electric
1902–1934: 10 ways; operator=Washington Railway &amp; Electric; railway:traction=electric
1934–1956: 10 ways; operator=Capital Transit; railway:traction=electric
1956–1958: 10 ways; operator=D.C. Transit; railway:traction=electric</t>
  </si>
  <si>
    <t xml:space="preserve">L24</t>
  </si>
  <si>
    <t xml:space="preserve">NE 4th Street branch</t>
  </si>
  <si>
    <t xml:space="preserve">4th St NE north to Michigan Ave; later a Michigan Ave extension to the B&amp;O Metropolitan Branch</t>
  </si>
  <si>
    <t xml:space="preserve">— (bus F4/G8)</t>
  </si>
  <si>
    <t xml:space="preserve">1920s</t>
  </si>
  <si>
    <t xml:space="preserve">Bus G8</t>
  </si>
  <si>
    <t xml:space="preserve">CRF gives '1920s' only; end year approximate.</t>
  </si>
  <si>
    <t xml:space="preserve">type=chronology
name=NE 4th Street branch
network=Washington, D.C. streetcars
operator=Eckington &amp; Soldiers' Home Railway
start_date=1888
end_date=1925
ref:streetcar_project=L24
description=Later operators: WRECo
source=WP; CRF
Dated route relations in this chronology:
1888–1902: 2 ways; operator=Eckington &amp; Soldiers' Home Railway; railway:traction=electric
1902–1925: 2 ways; operator=Washington Railway &amp; Electric; railway:traction=electric</t>
  </si>
  <si>
    <t xml:space="preserve">Glenwood Cemetery extension</t>
  </si>
  <si>
    <t xml:space="preserve">T St, 2nd St and V St NE to Glenwood Cemetery</t>
  </si>
  <si>
    <t xml:space="preserve">1889</t>
  </si>
  <si>
    <t xml:space="preserve">1894 (unprofitable)</t>
  </si>
  <si>
    <t xml:space="preserve">L23, L26</t>
  </si>
  <si>
    <t xml:space="preserve">type=chronology
name=Glenwood Cemetery extension
network=Washington, D.C. streetcars
operator=Eckington &amp; Soldiers' Home Railway
start_date=1889
end_date=1894
ref:streetcar_project=L25
source=WP; MPD
Dated route relations in this chronology:
1889–1894: 6 ways; operator=Eckington &amp; Soldiers' Home Railway; railway:traction=electric</t>
  </si>
  <si>
    <t xml:space="preserve">L26</t>
  </si>
  <si>
    <t xml:space="preserve">North Capitol Street / Brookland line</t>
  </si>
  <si>
    <t xml:space="preserve">North Capitol St to the Soldiers' Home; extended to Brookland (Catholic University) 1899–1900; Brookland/Quincy St loop 1948</t>
  </si>
  <si>
    <t xml:space="preserve">Electric (1890 per CRF)</t>
  </si>
  <si>
    <t xml:space="preserve">80</t>
  </si>
  <si>
    <t xml:space="preserve">Sept 7, 1958 (CRF) / 1959 (Wikipedia)</t>
  </si>
  <si>
    <t xml:space="preserve">Bus 80</t>
  </si>
  <si>
    <t xml:space="preserve">1912 map: continued north on 12th St NE past Monroe St to about Randolph St.</t>
  </si>
  <si>
    <t xml:space="preserve">L25, L33</t>
  </si>
  <si>
    <t xml:space="preserve">type=chronology
name=North Capitol Street / Brookland line
network=Washington, D.C. streetcars
operator=Eckington &amp; Soldiers' Home Railway
start_date=1890
end_date=1958
ref:streetcar_project=L26
ref=80
description=Later operators: WRECo; Capital Transit; D.C. Transit
source=WP; MPD; CRF; GDC
Dated route relations in this chronology:
1890–1899: 10 ways; operator=Eckington &amp; Soldiers' Home Railway; railway:traction=electric
1899–1902: 12 ways; operator=Eckington &amp; Soldiers' Home Railway; railway:traction=electric
1902–1934: 12 ways; operator=Washington Railway &amp; Electric; railway:traction=electric
1934–1956: 12 ways; operator=Capital Transit; railway:traction=electric
1956–1958: 12 ways; operator=D.C. Transit; railway:traction=electric</t>
  </si>
  <si>
    <t xml:space="preserve">L27</t>
  </si>
  <si>
    <t xml:space="preserve">G Street extension</t>
  </si>
  <si>
    <t xml:space="preserve">5th St from New York Ave to G St, then G St NW to 15th St (c.1890); 1892–94 downtown loops via 1st St, C St and D St NW, New Jersey Ave, and 5th St, Louisiana Ave, 6th St and B St NW to near 7th St (Center Market)</t>
  </si>
  <si>
    <t xml:space="preserve">Battery trials (1891–93), then electric</t>
  </si>
  <si>
    <t xml:space="preserve">1891</t>
  </si>
  <si>
    <t xml:space="preserve">Not stated</t>
  </si>
  <si>
    <t xml:space="preserve">Authorized 1890.</t>
  </si>
  <si>
    <t xml:space="preserve">MPD; LAWS</t>
  </si>
  <si>
    <t xml:space="preserve">type=chronology
name=G Street extension
network=Washington, D.C. streetcars
operator=Eckington &amp; Soldiers' Home Railway
start_date=1891
end_date=1958
ref:streetcar_project=L27
end_date:edtf=1958~
description=Later operators: WRECo
source=MPD; LAWS
Dated route relations in this chronology:
1891–1902: 11 ways; operator=Eckington &amp; Soldiers' Home Railway; railway:traction=electric
1902–1934: 11 ways; operator=Washington Railway &amp; Electric; railway:traction=electric
1934–1956: 11 ways; operator=Capital Transit; railway:traction=electric
1956–1958: 11 ways; operator=D.C. Transit; railway:traction=electric</t>
  </si>
  <si>
    <t xml:space="preserve">L28</t>
  </si>
  <si>
    <t xml:space="preserve">Rhode Island Avenue – College Park line</t>
  </si>
  <si>
    <t xml:space="preserve">Rhode Island Ave NE from 4th St NE (connection with Eckington line) to Mount Rainier (1897), Brentwood (1898), Hyattsville and Riverdale (1899), then College Park and Berwyn</t>
  </si>
  <si>
    <t xml:space="preserve">Maryland &amp; Washington Railway / City &amp; Suburban Railway</t>
  </si>
  <si>
    <t xml:space="preserve">WRECo (fully 1926); Capital Transit; D.C. Transit</t>
  </si>
  <si>
    <t xml:space="preserve">1897</t>
  </si>
  <si>
    <t xml:space="preserve">82 (College Park); P6 bus later</t>
  </si>
  <si>
    <t xml:space="preserve">Sept 7, 1958 (Route 82, one of the first abandoned by D.C. Transit)</t>
  </si>
  <si>
    <t xml:space="preserve">Bus 82 / P6</t>
  </si>
  <si>
    <t xml:space="preserve">Truncated at Beltsville by 1948 and at Berwyn by 1956. Right-of-way partly used by the Rhode Island Ave Trolley Trail.</t>
  </si>
  <si>
    <t xml:space="preserve">WPMD; MPD; CRF</t>
  </si>
  <si>
    <t xml:space="preserve">L29</t>
  </si>
  <si>
    <t xml:space="preserve">type=chronology
name=Rhode Island Avenue – College Park line
network=Washington, D.C. streetcars
operator=Maryland &amp; Washington Railway / City &amp; Suburban Railway
start_date=1897
end_date=1958
ref:streetcar_project=L28
ref=82
description=Later operators: WRECo (fully 1926); Capital Transit; D.C. Transit
source=WPMD; MPD; CRF
Dated route relations in this chronology:
1897–1899: 1 ways; operator=Maryland &amp; Washington Railway / City &amp; Suburban Railway; railway:traction=electric
1899–1900: 2 ways; operator=Maryland &amp; Washington Railway / City &amp; Suburban Railway; railway:traction=electric
1900–1902: 4 ways; operator=Maryland &amp; Washington Railway / City &amp; Suburban Railway; railway:traction=electric
1902–1934: 4 ways; operator=Washington Railway &amp; Electric; railway:traction=electric
1934–1956: 4 ways; operator=Capital Transit; railway:traction=electric
1956–1958: 4 ways; operator=D.C. Transit; railway:traction=electric</t>
  </si>
  <si>
    <t xml:space="preserve">Berwyn – Beltsville – Laurel extension</t>
  </si>
  <si>
    <t xml:space="preserve">Riverdale–College Park–Berwyn–Branchville–Beltsville–Contee–Laurel, MD</t>
  </si>
  <si>
    <t xml:space="preserve">MD</t>
  </si>
  <si>
    <t xml:space="preserve">Columbia &amp; Maryland Ry / Berwyn &amp; Laurel Electric RR / Washington, Berwyn &amp; Laurel Electric RR</t>
  </si>
  <si>
    <t xml:space="preserve">City &amp; Suburban; WRECo (1910); Capital Transit</t>
  </si>
  <si>
    <t xml:space="preserve">1902</t>
  </si>
  <si>
    <t xml:space="preserve">84 (Branchville–Beltsville)</t>
  </si>
  <si>
    <t xml:space="preserve">Branchville–Beltsville: July 31, 1949 (CRF); Laurel end not stated</t>
  </si>
  <si>
    <t xml:space="preserve">Discontinued</t>
  </si>
  <si>
    <t xml:space="preserve">Direct Treasury–Laurel service began 1902.</t>
  </si>
  <si>
    <t xml:space="preserve">type=chronology
name=Berwyn – Beltsville – Laurel extension
network=Washington, D.C. streetcars
operator=Columbia &amp; Maryland Ry / Berwyn &amp; Laurel Electric RR / Washington, Berwyn &amp; Laurel Electric RR
start_date=1902
end_date=1949
ref:streetcar_project=L29
ref=84
description=Later operators: City &amp; Suburban; WRECo (1910); Capital Transit
source=WPMD; MPD; CRF
Dated route relations in this chronology:
1902–1934: 4 ways; operator=Washington Railway &amp; Electric; railway:traction=electric
1934–1948: 4 ways; operator=Capital Transit; railway:traction=electric
1948–1949: 3 ways; operator=Capital Transit; railway:traction=electric</t>
  </si>
  <si>
    <t xml:space="preserve">L30</t>
  </si>
  <si>
    <t xml:space="preserve">Rock Creek Railway – Connecticut Avenue line</t>
  </si>
  <si>
    <t xml:space="preserve">Florida Ave (2 blocks east of Connecticut) – 18th St – Calvert St bridge (1891) – Connecticut Ave to Chevy Chase Circle and Chevy Chase Lake, MD</t>
  </si>
  <si>
    <t xml:space="preserve">Rock Creek Railway</t>
  </si>
  <si>
    <t xml:space="preserve">Capital Traction (1895); Capital Transit</t>
  </si>
  <si>
    <t xml:space="preserve">Overhead outside the city; Love conduit inside (1893–99)</t>
  </si>
  <si>
    <t xml:space="preserve">— (buses L2/L6)</t>
  </si>
  <si>
    <t xml:space="preserve">Sept 16, 1935 (Calvert St bridge to Chevy Chase Lake)</t>
  </si>
  <si>
    <t xml:space="preserve">Bus L2 / L6</t>
  </si>
  <si>
    <t xml:space="preserve">Florida Ave stub (Connecticut Ave–18th St) opened 1890 and was removed 1899. Calvert St bridge completed July 21, 1891. Suburban line opened Sept 16 (Wikipedia) or 18 (NRHP), 1892. Through service to Kensington from 1923. Last cars Sept 15, 1935.</t>
  </si>
  <si>
    <t xml:space="preserve">type=chronology
name=Rock Creek Railway – Connecticut Avenue line
network=Washington, D.C. streetcars
operator=Rock Creek Railway
start_date=1890
end_date=1935
ref:streetcar_project=L30
description=Later operators: Capital Traction (1895); Capital Transit
source=WP; MPD; CRF
Dated route relations in this chronology:
1890–1892: 1 ways; operator=Rock Creek Railway; railway:traction=horse
1892–1895: 4 ways; operator=Rock Creek Railway; railway:traction=electric
1895–1899: 4 ways; operator=Capital Traction; railway:traction=electric
1899–1934: 3 ways; operator=Capital Traction; railway:traction=electric
1934–1935: 3 ways; operator=Capital Transit; railway:traction=electric</t>
  </si>
  <si>
    <t xml:space="preserve">L31</t>
  </si>
  <si>
    <t xml:space="preserve">U Street line</t>
  </si>
  <si>
    <t xml:space="preserve">U St east from 18th St to 7th St NW (1893, Love conduit), later the U St crosstown</t>
  </si>
  <si>
    <t xml:space="preserve">Capital Traction; Capital Transit; D.C. Transit</t>
  </si>
  <si>
    <t xml:space="preserve">Electric (Love conduit 1893, standard conduit 1899)</t>
  </si>
  <si>
    <t xml:space="preserve">1892/1893</t>
  </si>
  <si>
    <t xml:space="preserve">90, 92 (U St crosstown)</t>
  </si>
  <si>
    <t xml:space="preserve">Bus 90/92</t>
  </si>
  <si>
    <t xml:space="preserve">Opened Mar 2, 1893 (18th &amp; Florida to 7th St). Love conduit replaced by sliding shoe in 1899. In 1946, routes 90/92 started at the National Zoological Park via Calvert St (Tundria lists 16th St where other sources say 18th St).</t>
  </si>
  <si>
    <t xml:space="preserve">WP; MPD; CRF; GGW; TUN</t>
  </si>
  <si>
    <t xml:space="preserve">type=chronology
name=U Street line
network=Washington, D.C. streetcars
operator=Rock Creek Railway
start_date=1893
end_date=1962
ref:streetcar_project=L31
ref=90;92
description=Later operators: Capital Traction; Capital Transit; D.C. Transit
source=WP; MPD; CRF; GGW; TUN
Dated route relations in this chronology:
1893–1895: 6 ways; operator=Rock Creek Railway; railway:traction=electric
1895–1934: 6 ways; operator=Capital Traction; railway:traction=electric
1934–1956: 6 ways; operator=Capital Transit; railway:traction=electric
1956–1962: 6 ways; operator=D.C. Transit; railway:traction=electric</t>
  </si>
  <si>
    <t xml:space="preserve">L32</t>
  </si>
  <si>
    <t xml:space="preserve">Florida Avenue / 8th Street extension</t>
  </si>
  <si>
    <t xml:space="preserve">U St line extended east on Florida Ave NW/NE to 8th St NE, then south on 8th St NE/SE to the Navy Yard</t>
  </si>
  <si>
    <t xml:space="preserve">Capital Traction (Act of May 23, 1908; per Tindall and Wikipedia's Capital Traction article; Wikipedia's main article says WRECo)</t>
  </si>
  <si>
    <t xml:space="preserve">Capital Transit; D.C. Transit</t>
  </si>
  <si>
    <t xml:space="preserve">1908</t>
  </si>
  <si>
    <t xml:space="preserve">90, 92</t>
  </si>
  <si>
    <t xml:space="preserve">Rails still buried under 8th St SE. Drawn on the 1910 and 1924 Rand McNally maps. 1912 map: Capital Traction track on F St NE linked Union Station with the 8th St line.</t>
  </si>
  <si>
    <t xml:space="preserve">L01, L48</t>
  </si>
  <si>
    <t xml:space="preserve">type=chronology
name=Florida Avenue / 8th Street extension
network=Washington, D.C. streetcars
operator=Capital Traction (Act of May 23, 1908; per Tindall and Wikipedia's Capital Traction article; Wikipedia's main article says WRECo)
start_date=1908
end_date=1962
ref:streetcar_project=L32
ref=90;92
description=Later operators: Capital Transit; D.C. Transit
source=WP; CRF
Dated route relations in this chronology:
1908–1934: 15 ways; operator=Capital Traction; railway:traction=electric
1934–1956: 15 ways; operator=Capital Transit; railway:traction=electric
1956–1962: 15 ways; operator=D.C. Transit; railway:traction=electric</t>
  </si>
  <si>
    <t xml:space="preserve">L33</t>
  </si>
  <si>
    <t xml:space="preserve">New Jersey Avenue line</t>
  </si>
  <si>
    <t xml:space="preserve">Florida Ave &amp; New Jersey Ave via New Jersey Ave and Massachusetts Ave to the Union Station plaza (Act of May 23, 1908)</t>
  </si>
  <si>
    <t xml:space="preserve">Capital Traction</t>
  </si>
  <si>
    <t xml:space="preserve">90 (old route)</t>
  </si>
  <si>
    <t xml:space="preserve">CRF</t>
  </si>
  <si>
    <t xml:space="preserve">L22, L26, L48, L55</t>
  </si>
  <si>
    <t xml:space="preserve">type=chronology
name=New Jersey Avenue line
network=Washington, D.C. streetcars
operator=Capital Traction
start_date=1908
end_date=1962
ref:streetcar_project=L33
ref=90
description=Later operators: Capital Transit; D.C. Transit
source=CRF
Dated route relations in this chronology:
1908–1934: 9 ways; operator=Capital Traction; railway:traction=electric
1934–1956: 9 ways; operator=Capital Transit; railway:traction=electric
1956–1962: 9 ways; operator=D.C. Transit; railway:traction=electric</t>
  </si>
  <si>
    <t xml:space="preserve">L34</t>
  </si>
  <si>
    <t xml:space="preserve">Union Station trackage</t>
  </si>
  <si>
    <t xml:space="preserve">Delaware Ave NE and Massachusetts Ave NE to Union Station; C St tunnel under Capitol Plaza (1934)</t>
  </si>
  <si>
    <t xml:space="preserve">Capital Traction &amp; WRECo</t>
  </si>
  <si>
    <t xml:space="preserve">Jan 1962</t>
  </si>
  <si>
    <t xml:space="preserve">Service began June 24, 1908 (Wikipedia Capital Traction article) or Dec 6, 1908 (NRHP). Capitol Plaza tunnel opened 1934. Map: joint track ran south from Union Station on 1st St NE/SE to Pennsylvania Ave SE (1912 map; route 90 in 1946).</t>
  </si>
  <si>
    <t xml:space="preserve">L01, L02, L09, L55</t>
  </si>
  <si>
    <t xml:space="preserve">type=chronology
name=Union Station trackage
network=Washington, D.C. streetcars
operator=Capital Traction &amp; WRECo
start_date=1908
end_date=1962
ref:streetcar_project=L34
ref=90;92
description=Later operators: Capital Transit; D.C. Transit
source=WP; MPD
Dated route relations in this chronology:
1908–1934: 8 ways; operator=Capital Traction; railway:traction=electric
1934–1956: 8 ways; operator=Capital Transit; railway:traction=electric
1956–1962: 8 ways; operator=D.C. Transit; railway:traction=electric</t>
  </si>
  <si>
    <t xml:space="preserve">L35</t>
  </si>
  <si>
    <t xml:space="preserve">Kensington Railway</t>
  </si>
  <si>
    <t xml:space="preserve">Chevy Chase Lake north along Connecticut Ave to University Blvd, Kensington; extended 1.5 miles north by 1916</t>
  </si>
  <si>
    <t xml:space="preserve">Chevy Chase Lake &amp; Kensington Railway (1894)</t>
  </si>
  <si>
    <t xml:space="preserve">Kensington Railway; leased to Capital Traction 1923–33</t>
  </si>
  <si>
    <t xml:space="preserve">Electric (single track)</t>
  </si>
  <si>
    <t xml:space="preserve">Sept 15, 1935</t>
  </si>
  <si>
    <t xml:space="preserve">Opened May 30, 1895. Right-of-way became Kensington Parkway.</t>
  </si>
  <si>
    <t xml:space="preserve">WPMD</t>
  </si>
  <si>
    <t xml:space="preserve">type=chronology
name=Kensington Railway
network=Washington, D.C. streetcars
operator=Chevy Chase Lake &amp; Kensington Railway (1894)
start_date=1895
end_date=1935
ref:streetcar_project=L35
description=Later operators: Kensington Railway; leased to Capital Traction 1923–33
source=WPMD
Dated route relations in this chronology:
1895–1935: 1 ways; operator=Chevy Chase Lake &amp; Kensington Railway; railway:traction=electric</t>
  </si>
  <si>
    <t xml:space="preserve">L36</t>
  </si>
  <si>
    <t xml:space="preserve">Georgetown &amp; Tennallytown line</t>
  </si>
  <si>
    <t xml:space="preserve">M St NW up 32nd St and Wisconsin Ave (Georgetown &amp; Rockville Rd) to Tenleytown and Friendship Heights</t>
  </si>
  <si>
    <t xml:space="preserve">Georgetown &amp; Tennallytown Railway</t>
  </si>
  <si>
    <t xml:space="preserve">Washington Traction &amp; Electric; WRECo (fully 1926); Capital Transit; D.C. Transit</t>
  </si>
  <si>
    <t xml:space="preserve">Overhead electric (1890)</t>
  </si>
  <si>
    <t xml:space="preserve">30, 31 (Wisconsin Ave)</t>
  </si>
  <si>
    <t xml:space="preserve">Bus 30s</t>
  </si>
  <si>
    <t xml:space="preserve">Opened Apr 25, 1890.</t>
  </si>
  <si>
    <t xml:space="preserve">L01, L07</t>
  </si>
  <si>
    <t xml:space="preserve">type=chronology
name=Georgetown &amp; Tennallytown line
network=Washington, D.C. streetcars
operator=Georgetown &amp; Tennallytown Railway
start_date=1890
end_date=1960
ref:streetcar_project=L36
ref=30;31
description=Later operators: Washington Traction &amp; Electric; WRECo (fully 1926); Capital Transit; D.C. Transit
source=WP; MPD; CRF
Dated route relations in this chronology:
1890–1902: 7 ways; operator=Georgetown &amp; Tennallytown Railway; railway:traction=electric
1902–1934: 7 ways; operator=Washington Railway &amp; Electric; railway:traction=electric
1934–1956: 7 ways; operator=Capital Transit; railway:traction=electric
1956–1960: 7 ways; operator=D.C. Transit; railway:traction=electric</t>
  </si>
  <si>
    <t xml:space="preserve">L37</t>
  </si>
  <si>
    <t xml:space="preserve">Friendship Heights – Bethesda – Rockville line</t>
  </si>
  <si>
    <t xml:space="preserve">Wisconsin &amp; Willard Aves along Old Georgetown Rd to Bethesda (Bethesda Park, 3.75 mi); extended to Rockville</t>
  </si>
  <si>
    <t xml:space="preserve">Tennallytown &amp; Rockville RR (1890); Washington &amp; Rockville Railway (1897)</t>
  </si>
  <si>
    <t xml:space="preserve">— (bus T6)</t>
  </si>
  <si>
    <t xml:space="preserve">Aug 4, 1935</t>
  </si>
  <si>
    <t xml:space="preserve">Bus T6 (later Ride-On)</t>
  </si>
  <si>
    <t xml:space="preserve">T&amp;R opened July 4, 1891 to Bethesda Park; foreclosed May 1896. W&amp;R incorporated Sept 9, 1897; tracks to Rockville by 1900, Woodlawn Hotel 1904. 24 trips a day in 1929.</t>
  </si>
  <si>
    <t xml:space="preserve">type=chronology
name=Friendship Heights – Bethesda – Rockville line
network=Washington, D.C. streetcars
operator=Tennallytown &amp; Rockville RR (1890); Washington &amp; Rockville Railway (1897)
start_date=1890
end_date=1935
ref:streetcar_project=L37
description=Later operators: WRECo; Capital Transit
source=WP; MPD; CRF
Dated route relations in this chronology:
1891–1900: 3 ways; operator=Tennallytown &amp; Rockville RR; railway:traction=electric
1900–1902: 4 ways; operator=Tennallytown &amp; Rockville RR; railway:traction=electric
1902–1934: 4 ways; operator=Washington Railway &amp; Electric; railway:traction=electric
1934–1935: 4 ways; operator=Capital Transit; railway:traction=electric</t>
  </si>
  <si>
    <t xml:space="preserve">L38</t>
  </si>
  <si>
    <t xml:space="preserve">Glen Echo Railroad</t>
  </si>
  <si>
    <t xml:space="preserve">Wisconsin &amp; Willard Aves west to Conduit Rd (MacArthur Blvd) &amp; Walhonding Rd; extended 1896 to Glen Echo and Cabin John</t>
  </si>
  <si>
    <t xml:space="preserve">Glen Echo Railroad (1889); Washington &amp; Glen Echo RR (1896)</t>
  </si>
  <si>
    <t xml:space="preserve">Walhonding–Cabin John section absorbed by Washington &amp; Great Falls (1902)</t>
  </si>
  <si>
    <t xml:space="preserve">Oct 1902</t>
  </si>
  <si>
    <t xml:space="preserve">Opened June 1891.</t>
  </si>
  <si>
    <t xml:space="preserve">WPMD; MPD</t>
  </si>
  <si>
    <t xml:space="preserve">L39</t>
  </si>
  <si>
    <t xml:space="preserve">type=chronology
name=Glen Echo Railroad
network=Washington, D.C. streetcars
operator=Glen Echo Railroad (1889); Washington &amp; Glen Echo RR (1896)
start_date=1891
end_date=1902
ref:streetcar_project=L38
description=Later operators: Walhonding–Cabin John section absorbed by Washington &amp; Great Falls (1902)
source=WPMD; MPD
Dated route relations in this chronology:
1891–1896: 1 ways; operator=Glen Echo Railroad; railway:traction=electric
1896–1902: 9 ways; operator=Glen Echo Railroad; railway:traction=electric</t>
  </si>
  <si>
    <t xml:space="preserve">Cabin John line (Washington &amp; Great Falls)</t>
  </si>
  <si>
    <t xml:space="preserve">Falls car barn at 36th &amp; Prospect Sts, west along Prospect St and across the Foundry Branch trestle, then on its own right-of-way along the south side of the Georgetown Reservoir and through the Palisades (today's Palisades Trolley Trail), past Chain Bridge and north through Brookmont to Glen Echo Park, then on the old Glen Echo Railroad right-of-way to a turning loop at the east end of the Cabin John Bridge</t>
  </si>
  <si>
    <t xml:space="preserve">Washington &amp; Great Falls Electric Railway</t>
  </si>
  <si>
    <t xml:space="preserve">WRECo (1902); Capital Transit; D.C. Transit</t>
  </si>
  <si>
    <t xml:space="preserve">20 (Cabin John); 22 (Washington Circle)</t>
  </si>
  <si>
    <t xml:space="preserve">Buses (later Ride-On)</t>
  </si>
  <si>
    <t xml:space="preserve">Chartered July 29, 1892. Reached the MD line Sept 28, 1895 and Cabin John 1897; double-tracked by 1899. Foundry Branch trestle survives. Route checked against the 1897 company map, the 1907 Baist atlas and the 1951 USGS topographic map: the line ran through Brookmont (not along MacArthur Blvd past the Dalecarlia plant) and ended at a loop by the Cabin John Bridge, not in Cabin John village. Alignment traced from OpenStreetMap's mapped trolley right-of-way, the Foundry Branch trestle and the Cabin John loop. 1912 map: from the car barn the line ran west along the bluff below Georgetown University and curved north to the Foundry Branch trestle.</t>
  </si>
  <si>
    <t xml:space="preserve">WP; WPMD; MPD; CRF; DDOT Palisades Trolley Trail Historic Resources Report (2019); USGS 1951 topo</t>
  </si>
  <si>
    <t xml:space="preserve">L07, L38, V07</t>
  </si>
  <si>
    <t xml:space="preserve">type=chronology
name=Cabin John line (Washington &amp; Great Falls)
network=Washington, D.C. streetcars
operator=Washington &amp; Great Falls Electric Railway
start_date=1895
end_date=1960
ref:streetcar_project=L39
ref=20;22
description=Later operators: WRECo (1902); Capital Transit; D.C. Transit
source=WP; WPMD; MPD; CRF; DDOT Palisades Trolley Trail Historic Resources Report (2019); USGS 1951 topo
Dated route relations in this chronology:
1895–1897: 1 ways; operator=Washington &amp; Great Falls Electric Railway; railway:traction=electric
1897–1902: 11 ways; operator=Washington &amp; Great Falls Electric Railway; railway:traction=electric
1902–1934: 11 ways; operator=Washington Railway &amp; Electric; railway:traction=electric
1934–1935: 11 ways; operator=Capital Transit; railway:traction=electric
1935–1956: 18 ways; operator=Capital Transit; railway:traction=electric
1956–1960: 18 ways; operator=D.C. Transit; railway:traction=electric</t>
  </si>
  <si>
    <t xml:space="preserve">L52</t>
  </si>
  <si>
    <t xml:space="preserve">West Washington &amp; Great Falls Electric Railway</t>
  </si>
  <si>
    <t xml:space="preserve">Junction with the Tennallytown &amp; Rockville at Wisconsin Ave, west to Glen Echo, largely along today's Bradley Blvd</t>
  </si>
  <si>
    <t xml:space="preserve">Washington &amp; Great Falls (July 1, 1896); WRECo</t>
  </si>
  <si>
    <t xml:space="preserve">Founded Nov 1, 1895. May overlap with the Glen Echo RR's Chevy Chase branch.</t>
  </si>
  <si>
    <t xml:space="preserve">WP-WRECo; TIN</t>
  </si>
  <si>
    <t xml:space="preserve">Not drawn</t>
  </si>
  <si>
    <t xml:space="preserve">L53</t>
  </si>
  <si>
    <t xml:space="preserve">Brightwood Ry – Petworth / Kenyon St branch</t>
  </si>
  <si>
    <t xml:space="preserve">Rock Creek Church Rd &amp; Richmond St (Petworth) west on Richmond St to Georgia Ave; south on Georgia Ave to Marshall St; west on Marshall St to Kenyon Ave; Kenyon to 14th St</t>
  </si>
  <si>
    <t xml:space="preserve">Overhead trolley</t>
  </si>
  <si>
    <t xml:space="preserve">Ordered vacated between 7th and 14th Sts (act c.1893–95)</t>
  </si>
  <si>
    <t xml:space="preserve">Authorized Feb 27, 1893. A later act ordered the Kenyon and Marshall St track and poles removed within a month unless converted to underground power. End year approximate.</t>
  </si>
  <si>
    <t xml:space="preserve">LAWS</t>
  </si>
  <si>
    <t xml:space="preserve">type=chronology
name=Brightwood Ry – Petworth / Kenyon St branch
network=Washington, D.C. streetcars
operator=Brightwood Railway
start_date=1893
end_date=1895
ref:streetcar_project=L53
source=LAWS
Dated route relations in this chronology:
1893–1895: 2 ways; operator=Brightwood Railway; railway:traction=electric</t>
  </si>
  <si>
    <t xml:space="preserve">L55</t>
  </si>
  <si>
    <t xml:space="preserve">City &amp; Suburban – Stanton Square / C &amp; D St NE loop</t>
  </si>
  <si>
    <t xml:space="preserve">From New Jersey Ave east on C St around Stanton Square, then C and D Sts NE to a turn at 13th St; Stanton Square track moved to the north side c.1902–03</t>
  </si>
  <si>
    <t xml:space="preserve">City &amp; Suburban; WRECo</t>
  </si>
  <si>
    <t xml:space="preserve">1894</t>
  </si>
  <si>
    <t xml:space="preserve">42 (to 13th &amp; C/D NE)</t>
  </si>
  <si>
    <t xml:space="preserve">Dec 3, 1961 (with route 42)</t>
  </si>
  <si>
    <t xml:space="preserve">Authorized 1892, route rewritten Aug 23, 1894. Drawn on the 1910 and 1924 Rand McNally maps and on the 1942 and 1958 system maps. In 1946, route 42 ran out via Massachusetts Ave, Maryland Ave and D St to 13th St, returning via C and 6th Sts (Tundria). The 1912 map colors this loop as WRECo. 1912 map: track on Massachusetts Ave NE linked Union Station with Stanton Square (route 42 used it in 1946). 1912 map: cars reached Stanton Square from Union Station by Massachusetts Ave, ran along the square's north side and down 6th St to C St; C St west of the square is not shown in 1912, so it is drawn only to 1908 (estimated).</t>
  </si>
  <si>
    <t xml:space="preserve">LAWS; MAP1910; MAP1924; MAP1942; MAP1958; TUN; MAP1912</t>
  </si>
  <si>
    <t xml:space="preserve">L04, L09, L22, L33, L34</t>
  </si>
  <si>
    <t xml:space="preserve">type=chronology
name=City &amp; Suburban – Stanton Square / C &amp; D St NE loop
network=Washington, D.C. streetcars
operator=Eckington &amp; Soldiers' Home Railway
start_date=1894
end_date=1961
ref:streetcar_project=L55
ref=42
description=Later operators: City &amp; Suburban; WRECo
source=LAWS; MAP1910; MAP1924; MAP1942; MAP1958; TUN; MAP1912
Dated route relations in this chronology:
1894–1902: 15 ways; operator=Eckington &amp; Soldiers' Home Railway; railway:traction=electric
1902–1908: 15 ways; operator=Washington Railway &amp; Electric; railway:traction=electric
1908–1934: 7 ways; operator=Washington Railway &amp; Electric; railway:traction=electric
1934–1956: 7 ways; operator=Capital Transit; railway:traction=electric
1956–1961: 7 ways; operator=D.C. Transit; railway:traction=electric</t>
  </si>
  <si>
    <t xml:space="preserve">L56</t>
  </si>
  <si>
    <t xml:space="preserve">West End loops / Potomac Park terminal</t>
  </si>
  <si>
    <t xml:space="preserve">First loops (1901): out Pennsylvania Ave, south on 25th St to G St, and south on 26th St to F St, returning east on G and F Sts to 17th St (a short G St link joined 25th and 26th Sts). Second loop (approved Dec 7, 1916): 18th and 19th Sts south to Virginia Ave. Routes 80/82 ended here as 'Potomac Park' / 'Virginia Ave' (out 18th St, back 19th St)</t>
  </si>
  <si>
    <t xml:space="preserve">Electric (conduit)</t>
  </si>
  <si>
    <t xml:space="preserve">1901</t>
  </si>
  <si>
    <t xml:space="preserve">80, 82</t>
  </si>
  <si>
    <t xml:space="preserve">Sept 7, 1958 (routes 80 and 82 converted; still on Wagner's Aug 1958 map)</t>
  </si>
  <si>
    <t xml:space="preserve">The 1910 Rand McNally map shows only the 1901 loops; the 1924 map shows track reaching Virginia Ave. The 18th St extension into Potomac Park was the District Commissioners' top recommendation in 1912. Identifying the Potomac Park terminal with the 1916 loop is an inference from the maps. 1912 map: West End loops on 25th and 26th Sts, G and F Sts; 26th St south of H St no longer exists, so that stretch is drawn straight.</t>
  </si>
  <si>
    <t xml:space="preserve">WP-PennAve; TIN; MAP1910; MAP1924; MAP1942; TUN; MAP1958; MAP1912</t>
  </si>
  <si>
    <t xml:space="preserve">type=chronology
name=West End loops / Potomac Park terminal
network=Washington, D.C. streetcars
operator=Capital Traction
start_date=1901
end_date=1958
ref:streetcar_project=L56
ref=80;82
description=Later operators: Capital Transit; D.C. Transit
source=WP-PennAve; TIN; MAP1910; MAP1924; MAP1942; TUN; MAP1958; MAP1912
Dated route relations in this chronology:
1901–1916: 11 ways; operator=Capital Traction; railway:traction=electric
1916–1934: 14 ways; operator=Capital Traction; railway:traction=electric
1934–1956: 14 ways; operator=Capital Transit; railway:traction=electric
1956–1958: 14 ways; operator=D.C. Transit; railway:traction=electric</t>
  </si>
  <si>
    <t xml:space="preserve">L57</t>
  </si>
  <si>
    <t xml:space="preserve">McLean Gardens loop</t>
  </si>
  <si>
    <t xml:space="preserve">Turning loop off Wisconsin Ave at McLean Gardens</t>
  </si>
  <si>
    <t xml:space="preserve">Capital Transit</t>
  </si>
  <si>
    <t xml:space="preserve">D.C. Transit</t>
  </si>
  <si>
    <t xml:space="preserve">30</t>
  </si>
  <si>
    <t xml:space="preserve">Probably Jan 3, 1960 with route 30 (inferred)</t>
  </si>
  <si>
    <t xml:space="preserve">Shown on Wagner's Aug 1958 trackage map; opening date not found. End date inferred from the route 30 conversion.</t>
  </si>
  <si>
    <t xml:space="preserve">MAP1958</t>
  </si>
  <si>
    <t xml:space="preserve">type=chronology
name=McLean Gardens loop
network=Washington, D.C. streetcars
operator=Capital Transit
start_date=1943
end_date=1960
ref:streetcar_project=L57
start_date:edtf=1943~
ref=30
description=Later operators: D.C. Transit
source=MAP1958
Dated route relations in this chronology:
1943–1956: 2 ways; operator=Capital Transit; railway:traction=horse
1956–1960: 2 ways; operator=D.C. Transit; railway:traction=horse</t>
  </si>
  <si>
    <t xml:space="preserve">L58</t>
  </si>
  <si>
    <t xml:space="preserve">Louisiana Ave trackage (route 20 to Union Station)</t>
  </si>
  <si>
    <t xml:space="preserve">From Pennsylvania Ave via 1st St NW and Louisiana Ave toward Union Station</t>
  </si>
  <si>
    <t xml:space="preserve">Not identified</t>
  </si>
  <si>
    <t xml:space="preserve">20</t>
  </si>
  <si>
    <t xml:space="preserve">Aug 28, 1949 (Tundria)</t>
  </si>
  <si>
    <t xml:space="preserve">Route 20 rerouted</t>
  </si>
  <si>
    <t xml:space="preserve">Only source for the closing date is Tundria's list of 1946–58 abandonments. Opening date not found.</t>
  </si>
  <si>
    <t xml:space="preserve">TUN</t>
  </si>
  <si>
    <t xml:space="preserve">L04, L22</t>
  </si>
  <si>
    <t xml:space="preserve">type=chronology
name=Louisiana Ave trackage (route 20 to Union Station)
network=Washington, D.C. streetcars
operator=Not identified
start_date=1908
end_date=1949
ref:streetcar_project=L58
start_date:edtf=1908~
ref=20
description=Later operators: Capital Transit
source=TUN
Dated route relations in this chronology:
1908–1934: 5 ways; operator=Washington Railway &amp; Electric; railway:traction=horse
1934–1949: 5 ways; operator=Capital Transit; railway:traction=horse</t>
  </si>
  <si>
    <t xml:space="preserve">L40</t>
  </si>
  <si>
    <t xml:space="preserve">Washington &amp; Great Falls Railway &amp; Power Co.</t>
  </si>
  <si>
    <t xml:space="preserve">Wisconsin Ave &amp; Bradley Lane along what is now Bradley Blvd to Great Falls, MD (10.66 mi)</t>
  </si>
  <si>
    <t xml:space="preserve">Washington &amp; Great Falls Railway &amp; Power Co. (operated by WRECo)</t>
  </si>
  <si>
    <t xml:space="preserve">1913</t>
  </si>
  <si>
    <t xml:space="preserve">Feb 12, 1921</t>
  </si>
  <si>
    <t xml:space="preserve">The only line that actually reached Great Falls.</t>
  </si>
  <si>
    <t xml:space="preserve">type=chronology
name=Washington &amp; Great Falls Railway &amp; Power Co.
network=Washington, D.C. streetcars
operator=Washington &amp; Great Falls Railway &amp; Power Co. (operated by WRECo)
start_date=1913
end_date=1921
ref:streetcar_project=L40
source=WPMD; MPD
Dated route relations in this chronology:
1913–1921: 1 ways; operator=Washington Railway &amp; Electric; railway:traction=electric</t>
  </si>
  <si>
    <t xml:space="preserve">Forest Glen line</t>
  </si>
  <si>
    <t xml:space="preserve">Georgia &amp; Eastern Aves (end of Brightwood line) along Georgia Ave and Seminary Rd to the National Park Seminary, Forest Glen (2.9 mi)</t>
  </si>
  <si>
    <t xml:space="preserve">Washington, Woodside &amp; Forest Glen Railway</t>
  </si>
  <si>
    <t xml:space="preserve">1895/1897</t>
  </si>
  <si>
    <t xml:space="preserve">— (bus Y8/Z2)</t>
  </si>
  <si>
    <t xml:space="preserve">Dec 15, 1924</t>
  </si>
  <si>
    <t xml:space="preserve">Bus</t>
  </si>
  <si>
    <t xml:space="preserve">Opened Nov 25, 1897. CRF gives electric 1895.</t>
  </si>
  <si>
    <t xml:space="preserve">WPMD; CRF</t>
  </si>
  <si>
    <t xml:space="preserve">type=chronology
name=Forest Glen line
network=Washington, D.C. streetcars
operator=Washington, Woodside &amp; Forest Glen Railway
start_date=1897
end_date=1924
ref:streetcar_project=L41
description=Later operators: WRECo
source=WPMD; CRF
Dated route relations in this chronology:
1897–1902: 2 ways; operator=Washington, Woodside &amp; Forest Glen Railway; railway:traction=electric
1902–1924: 2 ways; operator=Washington Railway &amp; Electric; railway:traction=electric</t>
  </si>
  <si>
    <t xml:space="preserve">L42</t>
  </si>
  <si>
    <t xml:space="preserve">'Dinky Line' – Takoma to Sligo</t>
  </si>
  <si>
    <t xml:space="preserve">4th &amp; Butternut Sts NW via 4th St, Aspen St and Laurel St into Takoma Park to Wildwood / Glen Sligo Hotel; Carroll Ave extension to the Sanitarium (1918)</t>
  </si>
  <si>
    <t xml:space="preserve">Baltimore &amp; Washington Transit Co.</t>
  </si>
  <si>
    <t xml:space="preserve">Washington &amp; Maryland Ry (1910/1914); Capital Traction (1916)</t>
  </si>
  <si>
    <t xml:space="preserve">Electric (1897) → abandoned c.1903–07 → gasoline cars (May 30, 1910) → storage battery → electric</t>
  </si>
  <si>
    <t xml:space="preserve">— (bus T2)</t>
  </si>
  <si>
    <t xml:space="preserve">1927</t>
  </si>
  <si>
    <t xml:space="preserve">Bus T2 (later Ride-On)</t>
  </si>
  <si>
    <t xml:space="preserve">Leased by Capital Traction May 2, 1918 (Wikipedia main article says owned 1916). The original resort line closed around 1904; the tracks were removed and later rebuilt.</t>
  </si>
  <si>
    <t xml:space="preserve">WP; WPMD; MPD; CRF</t>
  </si>
  <si>
    <t xml:space="preserve">type=chronology
name='Dinky Line' – Takoma to Sligo
network=Washington, D.C. streetcars
operator=Baltimore &amp; Washington Transit Co.
start_date=1897
end_date=1927
ref:streetcar_project=L42
description=Later operators: Washington &amp; Maryland Ry (1910/1914); Capital Traction (1916)
source=WP; WPMD; MPD; CRF
Dated route relations in this chronology:
1897–1916: 3 ways; operator=Baltimore &amp; Washington Transit Co.; railway:traction=electric
1916–1927: 3 ways; operator=Capital Traction; railway:traction=electric</t>
  </si>
  <si>
    <t xml:space="preserve">L43</t>
  </si>
  <si>
    <t xml:space="preserve">Kennedy Street / 3rd Street – Takoma line</t>
  </si>
  <si>
    <t xml:space="preserve">3rd St NW and Kennedy St NW to 14th St &amp; Colorado Ave (connection with 14th St line)</t>
  </si>
  <si>
    <t xml:space="preserve">Washington &amp; Maryland Railway</t>
  </si>
  <si>
    <t xml:space="preserve">Capital Traction (1916); Capital Transit</t>
  </si>
  <si>
    <t xml:space="preserve">1910</t>
  </si>
  <si>
    <t xml:space="preserve">— (bus J2 / K8)</t>
  </si>
  <si>
    <t xml:space="preserve">April 1936</t>
  </si>
  <si>
    <t xml:space="preserve">Bus K8</t>
  </si>
  <si>
    <t xml:space="preserve">Built between 1903 and 1917 (Wikipedia); CRF dates it 1910.</t>
  </si>
  <si>
    <t xml:space="preserve">type=chronology
name=Kennedy Street / 3rd Street – Takoma line
network=Washington, D.C. streetcars
operator=Washington &amp; Maryland Railway
start_date=1910
end_date=1936
ref:streetcar_project=L43
description=Later operators: Capital Traction (1916); Capital Transit
source=WP; CRF
Dated route relations in this chronology:
1910–1916: 2 ways; operator=Washington &amp; Maryland Railway; railway:traction=electric
1916–1934: 2 ways; operator=Capital Traction; railway:traction=electric
1934–1936: 2 ways; operator=Capital Transit; railway:traction=electric</t>
  </si>
  <si>
    <t xml:space="preserve">L44</t>
  </si>
  <si>
    <t xml:space="preserve">14th Street – Takoma line</t>
  </si>
  <si>
    <t xml:space="preserve">14th St line branch to Takoma</t>
  </si>
  <si>
    <t xml:space="preserve">58</t>
  </si>
  <si>
    <t xml:space="preserve">April 1936 (CRF); Wikipedia says the Takoma line converted by 1937</t>
  </si>
  <si>
    <t xml:space="preserve">CRF; WP</t>
  </si>
  <si>
    <t xml:space="preserve">L45</t>
  </si>
  <si>
    <t xml:space="preserve">East Washington Heights Traction</t>
  </si>
  <si>
    <t xml:space="preserve">Pennsylvania Ave SE from the Capitol to Barney Circle (1903), across the bridge to Randle Highlands at 27th St SE (1908), past 33rd St SE (1917)</t>
  </si>
  <si>
    <t xml:space="preserve">East Washington Heights Traction Railroad</t>
  </si>
  <si>
    <t xml:space="preserve">1905 (CRF)</t>
  </si>
  <si>
    <t xml:space="preserve">— (bus C2)</t>
  </si>
  <si>
    <t xml:space="preserve">Dec 1, 1923 (first streetcar-to-bus conversion)</t>
  </si>
  <si>
    <t xml:space="preserve">Bus C2 / 32 / 34</t>
  </si>
  <si>
    <t xml:space="preserve">Two streetcars, about one mile of track. The 1910 Rand McNally map shows the line crossing the Pennsylvania Ave bridge (the 1908 extension). The 1924 map may still show it because of plate lag.</t>
  </si>
  <si>
    <t xml:space="preserve">type=chronology
name=East Washington Heights Traction
network=Washington, D.C. streetcars
operator=East Washington Heights Traction Railroad
start_date=1903
end_date=1923
ref:streetcar_project=L45
source=WP; CRF
Dated route relations in this chronology:
1903–1905: 1 ways; operator=East Washington Heights Traction Railroad; railway:traction=horse
1905–1917: 1 ways; operator=East Washington Heights Traction Railroad; railway:traction=electric
1917–1923: 2 ways; operator=East Washington Heights Traction Railroad; railway:traction=electric</t>
  </si>
  <si>
    <t xml:space="preserve">L46</t>
  </si>
  <si>
    <t xml:space="preserve">Bladensburg Road line</t>
  </si>
  <si>
    <t xml:space="preserve">15th &amp; H Sts NE along Bladensburg Rd to Bladensburg (1910); battery-car extension to Berwyn Heights (1912)</t>
  </si>
  <si>
    <t xml:space="preserve">Washington, Spa Spring &amp; Gretta Railroad</t>
  </si>
  <si>
    <t xml:space="preserve">Washington Interurban Railway (1912) / Railroad (1916)</t>
  </si>
  <si>
    <t xml:space="preserve">Electric in DC; storage-battery cars in MD</t>
  </si>
  <si>
    <t xml:space="preserve">— (bus B2)</t>
  </si>
  <si>
    <t xml:space="preserve">Apr 22, 1923 (CRF); abandoned incrementally 1921–25 (NRHP)</t>
  </si>
  <si>
    <t xml:space="preserve">Bus B2</t>
  </si>
  <si>
    <t xml:space="preserve">MD charter Feb 13, 1905; DC entry Feb 18, 1907. 2.89 mi in DC and 5.55 mi in MD. Not drawn on either the 1910 or the 1924 Rand McNally map.</t>
  </si>
  <si>
    <t xml:space="preserve">type=chronology
name=Bladensburg Road line
network=Washington, D.C. streetcars
operator=Washington, Spa Spring &amp; Gretta Railroad
start_date=1910
end_date=1923
ref:streetcar_project=L46
description=Later operators: Washington Interurban Railway (1912) / Railroad (1916)
source=WP; MPD; CRF
Dated route relations in this chronology:
1910–1912: 1 ways; operator=Washington, Spa Spring &amp; Gretta Railroad; railway:traction=electric
1912–1923: 2 ways; operator=Washington, Spa Spring &amp; Gretta Railroad; railway:traction=electric</t>
  </si>
  <si>
    <t xml:space="preserve">L47</t>
  </si>
  <si>
    <t xml:space="preserve">Massachusetts Avenue line</t>
  </si>
  <si>
    <t xml:space="preserve">Massachusetts Ave NW</t>
  </si>
  <si>
    <t xml:space="preserve">— (bus N2/N4)</t>
  </si>
  <si>
    <t xml:space="preserve">May 13, 1925</t>
  </si>
  <si>
    <t xml:space="preserve">Bus N4</t>
  </si>
  <si>
    <t xml:space="preserve">L48</t>
  </si>
  <si>
    <t xml:space="preserve">LeDroit Park line</t>
  </si>
  <si>
    <t xml:space="preserve">Belt Railway extension (1896): 4th &amp; O NW north on 4th St to Florida Ave, then Harewood, Elm, Linden and Pomeroy Sts to 7th St, LeDroit Park; through-routed to the wharves by Washington Traction</t>
  </si>
  <si>
    <t xml:space="preserve">Belt Railway (1896 extension)</t>
  </si>
  <si>
    <t xml:space="preserve">Jan 7, 1935</t>
  </si>
  <si>
    <t xml:space="preserve">Drawn on the 1924 Rand McNally map (loop near Howard University and the ballpark). Map: ran into LeDroit Park via 3rd St, Elm St, 4th St and V St to Georgia Ave (1912 map). 1912 map: the LeDroit Park line reached Georgia Ave along W St.</t>
  </si>
  <si>
    <t xml:space="preserve">MPD; CRF; LAWS</t>
  </si>
  <si>
    <t xml:space="preserve">L22, L32, L33</t>
  </si>
  <si>
    <t xml:space="preserve">type=chronology
name=LeDroit Park line
network=Washington, D.C. streetcars
operator=Belt Railway (1896 extension)
start_date=1875
end_date=1935
ref:streetcar_project=L48
description=Later operators: WRECo; Capital Transit
source=MPD; CRF; LAWS
Dated route relations in this chronology:
1875–1896: 2 ways; operator=Belt Railway; railway:traction=horse
1896–1900: 4 ways; operator=Belt Railway; railway:traction=horse
1900–1912: 4 ways; operator=Belt Railway; railway:traction=electric
1912–1934: 4 ways; operator=Washington Railway &amp; Electric; railway:traction=electric
1934–1935: 4 ways; operator=Capital Transit; railway:traction=electric</t>
  </si>
  <si>
    <t xml:space="preserve">L49</t>
  </si>
  <si>
    <t xml:space="preserve">Key Bridge – Rosslyn line</t>
  </si>
  <si>
    <t xml:space="preserve">M St across the Francis Scott Key Bridge to the Rosslyn loop and W&amp;OD terminal</t>
  </si>
  <si>
    <t xml:space="preserve">DC/VA</t>
  </si>
  <si>
    <t xml:space="preserve">1923</t>
  </si>
  <si>
    <t xml:space="preserve">10 (Rosslyn–Benning)</t>
  </si>
  <si>
    <t xml:space="preserve">Aug 26, 1956 (Wikipedia, CRF) or Dec 24, 1948 (Tundria): unresolved conflict</t>
  </si>
  <si>
    <t xml:space="preserve">Bus 38</t>
  </si>
  <si>
    <t xml:space="preserve">Replaced W&amp;OD service over the old Aqueduct Bridge.</t>
  </si>
  <si>
    <t xml:space="preserve">WP; CRF; GDC; TUN</t>
  </si>
  <si>
    <t xml:space="preserve">type=chronology
name=Key Bridge – Rosslyn line
network=Washington, D.C. streetcars
operator=Capital Traction
start_date=1923
end_date=1956
ref:streetcar_project=L49
ref=10
description=Later operators: Capital Transit
source=WP; CRF; GDC; TUN
Dated route relations in this chronology:
1923–1934: 5 ways; operator=Capital Traction; railway:traction=electric
1934–1956: 5 ways; operator=Capital Transit; railway:traction=electric</t>
  </si>
  <si>
    <t xml:space="preserve">L50</t>
  </si>
  <si>
    <t xml:space="preserve">14th St – U St – 11th St route</t>
  </si>
  <si>
    <t xml:space="preserve">Capital Transit 1936 through-route combining 14th St, U St and 11th St trackage</t>
  </si>
  <si>
    <t xml:space="preserve">1936</t>
  </si>
  <si>
    <t xml:space="preserve">52</t>
  </si>
  <si>
    <t xml:space="preserve">Jan 28, 1962 (CRF)</t>
  </si>
  <si>
    <t xml:space="preserve">L51</t>
  </si>
  <si>
    <t xml:space="preserve">Bureau of Engraving loop / Southwest government trackage</t>
  </si>
  <si>
    <t xml:space="preserve">14th St SW to the Bureau of Engraving (service since at least 1895); underground loop at 14th &amp; C Sts SW (1942); new track 1939–41 to government buildings southwest of the Mall</t>
  </si>
  <si>
    <t xml:space="preserve">WRECo predecessor; Capital Transit</t>
  </si>
  <si>
    <t xml:space="preserve">50</t>
  </si>
  <si>
    <t xml:space="preserve">Bus 50s</t>
  </si>
  <si>
    <t xml:space="preserve">Loop is now part of a parking and storage structure under 14th St SW.</t>
  </si>
  <si>
    <t xml:space="preserve">L22, V01</t>
  </si>
  <si>
    <t xml:space="preserve">type=chronology
name=Bureau of Engraving loop / Southwest government trackage
network=Washington, D.C. streetcars
operator=WRECo predecessor; Capital Transit
start_date=1895
end_date=1962
ref:streetcar_project=L51
ref=50
description=Later operators: D.C. Transit
source=WP; MPD
Dated route relations in this chronology:
1895–1902: 2 ways; operator=WRECo predecessor; railway:traction=electric
1902–1934: 2 ways; operator=Washington Railway &amp; Electric; railway:traction=electric
1934–1956: 2 ways; operator=Capital Transit; railway:traction=electric
1956–1962: 2 ways; operator=D.C. Transit; railway:traction=electric</t>
  </si>
  <si>
    <t xml:space="preserve">V01</t>
  </si>
  <si>
    <t xml:space="preserve">Washington, Alexandria &amp; Mount Vernon line</t>
  </si>
  <si>
    <t xml:space="preserve">Mount Vernon – Alexandria – Arlington Junction – Long Bridge (Highway Bridge from Feb 12, 1906) – DC. DC route 1896: 14th &amp; B via B St, 13½ St and E St to 14th St on Belt tracks. From 1902: 12th &amp; D, 12th St, C St, 14th St</t>
  </si>
  <si>
    <t xml:space="preserve">VA/DC</t>
  </si>
  <si>
    <t xml:space="preserve">Washington, Alexandria &amp; Mount Vernon Electric Railway</t>
  </si>
  <si>
    <t xml:space="preserve">Washington-Virginia Railway (1910)</t>
  </si>
  <si>
    <t xml:space="preserve">Electric (interurban)</t>
  </si>
  <si>
    <t xml:space="preserve">Lost DC access Jan 17, 1932</t>
  </si>
  <si>
    <t xml:space="preserve">Alexandria &amp; Suburban / AB&amp;W buses</t>
  </si>
  <si>
    <t xml:space="preserve">Alexandria–Mount Vernon service began 1892.</t>
  </si>
  <si>
    <t xml:space="preserve">WP; WPVA</t>
  </si>
  <si>
    <t xml:space="preserve">L22, L51</t>
  </si>
  <si>
    <t xml:space="preserve">type=chronology
name=Washington, Alexandria &amp; Mount Vernon line
network=Washington, D.C. streetcars
operator=Washington, Alexandria &amp; Mount Vernon Electric Railway
start_date=1892
end_date=1932
ref:streetcar_project=V01
description=Later operators: Washington-Virginia Railway (1910)
source=WP; WPVA
Dated route relations in this chronology:
1892–1896: 1 ways; operator=Washington, Alexandria &amp; Mount Vernon Electric Railway; railway:traction=electric
1896–1932: 7 ways; operator=Washington, Alexandria &amp; Mount Vernon Electric Railway; railway:traction=electric</t>
  </si>
  <si>
    <t xml:space="preserve">V02</t>
  </si>
  <si>
    <t xml:space="preserve">Rosslyn branch (East Arlington)</t>
  </si>
  <si>
    <t xml:space="preserve">Arlington Junction – Mt. Vernon Junction – along Arlington Ridge Rd – Rosslyn (Aqueduct Bridge)</t>
  </si>
  <si>
    <t xml:space="preserve">VA</t>
  </si>
  <si>
    <t xml:space="preserve">Washington-Virginia Railway</t>
  </si>
  <si>
    <t xml:space="preserve">Rosslyn–Mt. Vernon Jct discontinued May 1921</t>
  </si>
  <si>
    <t xml:space="preserve">Opened May 22, 1896.</t>
  </si>
  <si>
    <t xml:space="preserve">WPVA</t>
  </si>
  <si>
    <t xml:space="preserve">V06</t>
  </si>
  <si>
    <t xml:space="preserve">type=chronology
name=Rosslyn branch (East Arlington)
network=Washington, D.C. streetcars
operator=Washington, Alexandria &amp; Mount Vernon Electric Railway
start_date=1896
end_date=1921
ref:streetcar_project=V02
description=Later operators: Washington-Virginia Railway
source=WPVA
Dated route relations in this chronology:
1896–1921: 6 ways; operator=Washington, Alexandria &amp; Mount Vernon Electric Railway; railway:traction=electric</t>
  </si>
  <si>
    <t xml:space="preserve">V03</t>
  </si>
  <si>
    <t xml:space="preserve">Nauck (Fort Myer) line</t>
  </si>
  <si>
    <t xml:space="preserve">Rosslyn south through Fort Myer (N. Lynn St, N. Meade St, McNair Rd) to Nauck near Four Mile Run</t>
  </si>
  <si>
    <t xml:space="preserve">Washington, Arlington &amp; Falls Church Railway</t>
  </si>
  <si>
    <t xml:space="preserve">Washington-Virginia; Arlington &amp; Fairfax (1927)</t>
  </si>
  <si>
    <t xml:space="preserve">Horse (Oct 1892, Rosslyn–Fort Myer Gate) → electric</t>
  </si>
  <si>
    <t xml:space="preserve">Electrification year not documented; drawn as electric from 1896, when the company opened its electric Fairfax line.</t>
  </si>
  <si>
    <t xml:space="preserve">type=chronology
name=Nauck (Fort Myer) line
network=Washington, D.C. streetcars
operator=Washington, Arlington &amp; Falls Church Railway
start_date=1892
end_date=1932
ref:streetcar_project=V03
end_date:edtf=1932~
description=Later operators: Washington-Virginia; Arlington &amp; Fairfax (1927)
source=WPVA
Dated route relations in this chronology:
1892–1896: 5 ways; operator=Washington, Arlington &amp; Falls Church Railway; railway:traction=horse
1896–1932: 5 ways; operator=Washington, Arlington &amp; Falls Church Railway; railway:traction=electric</t>
  </si>
  <si>
    <t xml:space="preserve">V04</t>
  </si>
  <si>
    <t xml:space="preserve">Fairfax line</t>
  </si>
  <si>
    <t xml:space="preserve">Rosslyn / DC via Clarendon, Ballston, Falls Church, Dunn Loring, Vienna and Oakton to the Fairfax County Courthouse</t>
  </si>
  <si>
    <t xml:space="preserve">Washington-Virginia (1910); Arlington &amp; Fairfax (1927)</t>
  </si>
  <si>
    <t xml:space="preserve">Electric; later auto-railers</t>
  </si>
  <si>
    <t xml:space="preserve">DC service ended Jan 17, 1932; company bankrupt 1939</t>
  </si>
  <si>
    <t xml:space="preserve">Arlington &amp; Fairfax Motor Transportation Co.</t>
  </si>
  <si>
    <t xml:space="preserve">Reached Falls Church 1897 and Fairfax Nov 28, 1904. Oakton station is on the NRHP.</t>
  </si>
  <si>
    <t xml:space="preserve">type=chronology
name=Fairfax line
network=Washington, D.C. streetcars
operator=Washington, Arlington &amp; Falls Church Railway
start_date=1896
end_date=1932
ref:streetcar_project=V04
description=Later operators: Washington-Virginia (1910); Arlington &amp; Fairfax (1927)
source=WP; WPVA
Dated route relations in this chronology:
1896–1904: 2 ways; operator=Washington, Arlington &amp; Falls Church Railway; railway:traction=electric
1904–1932: 3 ways; operator=Washington, Arlington &amp; Falls Church Railway; railway:traction=electric</t>
  </si>
  <si>
    <t xml:space="preserve">V05</t>
  </si>
  <si>
    <t xml:space="preserve">North Arlington branch</t>
  </si>
  <si>
    <t xml:space="preserve">Clarendon – Clarendon Blvd / Fairfax Dr / N. Lynn St – Rosslyn</t>
  </si>
  <si>
    <t xml:space="preserve">Washington-Virginia; Arlington &amp; Fairfax</t>
  </si>
  <si>
    <t xml:space="preserve">Rosslyn terminal removed late 1939</t>
  </si>
  <si>
    <t xml:space="preserve">Roughly follows today's Orange/Silver Metro alignment.</t>
  </si>
  <si>
    <t xml:space="preserve">type=chronology
name=North Arlington branch
network=Washington, D.C. streetcars
operator=Washington, Arlington &amp; Falls Church Railway
start_date=1906
end_date=1939
ref:streetcar_project=V05
start_date:edtf=1906~
description=Later operators: Washington-Virginia; Arlington &amp; Fairfax
source=WPVA
Dated route relations in this chronology:
1906–1939: 6 ways; operator=Washington, Arlington &amp; Falls Church Railway; railway:traction=horse</t>
  </si>
  <si>
    <t xml:space="preserve">South Arlington branch (Clarendon Cutoff)</t>
  </si>
  <si>
    <t xml:space="preserve">Clarendon southeast along Washington Blvd to Mt. Vernon Junction and Arlington Junction</t>
  </si>
  <si>
    <t xml:space="preserve">1907</t>
  </si>
  <si>
    <t xml:space="preserve">type=chronology
name=South Arlington branch (Clarendon Cutoff)
network=Washington, D.C. streetcars
operator=Washington, Arlington &amp; Falls Church Railway
start_date=1907
end_date=1932
ref:streetcar_project=V06
end_date:edtf=1932~
description=Later operators: Washington-Virginia; Arlington &amp; Fairfax
source=WPVA
Dated route relations in this chronology:
1907–1932: 6 ways; operator=Washington, Arlington &amp; Falls Church Railway; railway:traction=electric</t>
  </si>
  <si>
    <t xml:space="preserve">V07</t>
  </si>
  <si>
    <t xml:space="preserve">Great Falls &amp; Old Dominion (W&amp;OD Great Falls Division) into Georgetown</t>
  </si>
  <si>
    <t xml:space="preserve">Across the Aqueduct Bridge on a single track to a station at 36th St south of Prospect St (next to the Georgetown Car Barn)</t>
  </si>
  <si>
    <t xml:space="preserve">Great Falls &amp; Old Dominion Railroad</t>
  </si>
  <si>
    <t xml:space="preserve">Washington &amp; Old Dominion Railway (1912)</t>
  </si>
  <si>
    <t xml:space="preserve">1906</t>
  </si>
  <si>
    <t xml:space="preserve">1923 (replaced by Capital Traction's Key Bridge service)</t>
  </si>
  <si>
    <t xml:space="preserve">Capital Traction Rosslyn line</t>
  </si>
  <si>
    <t xml:space="preserve">Authorized Jan 29, 1903; trial runs from Georgetown Mar 1906; scheduled service July 3, 1906.</t>
  </si>
  <si>
    <t xml:space="preserve">TIN; WP-GFOD; MPD</t>
  </si>
  <si>
    <t xml:space="preserve">type=chronology
name=Great Falls &amp; Old Dominion (W&amp;OD Great Falls Division) into Georgetown
network=Washington, D.C. streetcars
operator=Great Falls &amp; Old Dominion Railroad
start_date=1906
end_date=1923
ref:streetcar_project=V07
description=Later operators: Washington &amp; Old Dominion Railway (1912)
source=TIN; WP-GFOD; MPD
Dated route relations in this chronology:
1906–1923: 3 ways; operator=Great Falls &amp; Old Dominion Railroad; railway:traction=electric</t>
  </si>
  <si>
    <t xml:space="preserve">V08</t>
  </si>
  <si>
    <t xml:space="preserve">Washington, Baltimore &amp; Annapolis Electric Railway</t>
  </si>
  <si>
    <t xml:space="preserve">Terminal at 15th &amp; H Sts NE, over Benning Rd streetcar tracks and the Benning Rd bridge to Deanwood, then its own line to Baltimore and Annapolis</t>
  </si>
  <si>
    <t xml:space="preserve">Electric interurban</t>
  </si>
  <si>
    <t xml:space="preserve">1935</t>
  </si>
  <si>
    <t xml:space="preserve">Main access to Suburban Gardens amusement park.</t>
  </si>
  <si>
    <t xml:space="preserve">L16, L17</t>
  </si>
  <si>
    <t xml:space="preserve">type=chronology
name=Washington, Baltimore &amp; Annapolis Electric Railway
network=Washington, D.C. streetcars
operator=Washington, Baltimore &amp; Annapolis Electric Railway
start_date=1908
end_date=1935
ref:streetcar_project=V08
source=WP; MPD
Dated route relations in this chronology:
1908–1935: 6 ways; operator=Washington, Baltimore &amp; Annapolis Electric Railway; railway:traction=electric</t>
  </si>
  <si>
    <t xml:space="preserve">Way</t>
  </si>
  <si>
    <t xml:space="preserve">Way id</t>
  </si>
  <si>
    <t xml:space="preserve">Length (m)</t>
  </si>
  <si>
    <t xml:space="preserve">start_date</t>
  </si>
  <si>
    <t xml:space="preserve">end_date</t>
  </si>
  <si>
    <t xml:space="preserve">Lines (route relations)</t>
  </si>
  <si>
    <t xml:space="preserve">Line names</t>
  </si>
  <si>
    <t xml:space="preserve">Shared</t>
  </si>
  <si>
    <t xml:space="preserve">Company families</t>
  </si>
  <si>
    <t xml:space="preserve">Way tags (OHM)</t>
  </si>
  <si>
    <t xml:space="preserve">Use by line (years)</t>
  </si>
  <si>
    <t xml:space="preserve">W028</t>
  </si>
  <si>
    <t xml:space="preserve">Benning Road – Kenilworth branch; Washington, Baltimore &amp; Annapolis Electric Railway</t>
  </si>
  <si>
    <t xml:space="preserve">Yes</t>
  </si>
  <si>
    <t xml:space="preserve">Independent / WRECo family</t>
  </si>
  <si>
    <t xml:space="preserve">railway=tram
gauge=1435
start_date=1898
end_date=1949</t>
  </si>
  <si>
    <t xml:space="preserve">L16 1898–1949; V08 1908–1935</t>
  </si>
  <si>
    <t xml:space="preserve">W410</t>
  </si>
  <si>
    <t xml:space="preserve">Benning Road – Kenilworth branch; Seat Pleasant branch</t>
  </si>
  <si>
    <t xml:space="preserve">WRECo family</t>
  </si>
  <si>
    <t xml:space="preserve">L16 1898–1949; L17 1900–1949</t>
  </si>
  <si>
    <t xml:space="preserve">W071</t>
  </si>
  <si>
    <t xml:space="preserve">L08, L18</t>
  </si>
  <si>
    <t xml:space="preserve">4th Street NW/SW line; Anacostia &amp; Potomac River Railroad main line</t>
  </si>
  <si>
    <t xml:space="preserve">railway=tram
gauge=1435
start_date=1872
end_date=1935</t>
  </si>
  <si>
    <t xml:space="preserve">L08 1872–1935; L18 1900–1935</t>
  </si>
  <si>
    <t xml:space="preserve">W075</t>
  </si>
  <si>
    <t xml:space="preserve">L22, L51, V01</t>
  </si>
  <si>
    <t xml:space="preserve">Belt Railway loop; Bureau of Engraving loop / Southwest government trackage; Washington, Alexandria &amp; Mount Vernon line</t>
  </si>
  <si>
    <t xml:space="preserve">Virginia / WRECo family</t>
  </si>
  <si>
    <t xml:space="preserve">railway=tram
gauge=1435
start_date=1875
end_date=1962</t>
  </si>
  <si>
    <t xml:space="preserve">L22 1875–1933; L51 1895–1962; V01 1896–1932</t>
  </si>
  <si>
    <t xml:space="preserve">W079</t>
  </si>
  <si>
    <t xml:space="preserve">L19, L22</t>
  </si>
  <si>
    <t xml:space="preserve">11th Street line; Belt Railway loop</t>
  </si>
  <si>
    <t xml:space="preserve">railway=tram
gauge=1435
start_date=1875
end_date=1961</t>
  </si>
  <si>
    <t xml:space="preserve">L19 1875–1961; L22 1875–1933</t>
  </si>
  <si>
    <t xml:space="preserve">W084</t>
  </si>
  <si>
    <t xml:space="preserve">L08 1872–1935; L18 1888–1935</t>
  </si>
  <si>
    <t xml:space="preserve">W089</t>
  </si>
  <si>
    <t xml:space="preserve">L02, L22</t>
  </si>
  <si>
    <t xml:space="preserve">7th Street line; Belt Railway loop</t>
  </si>
  <si>
    <t xml:space="preserve">Capital Traction family / WRECo family</t>
  </si>
  <si>
    <t xml:space="preserve">railway=tram
gauge=1435
start_date=1862
end_date=1960</t>
  </si>
  <si>
    <t xml:space="preserve">L02 1862–1960; L22 1875–1933</t>
  </si>
  <si>
    <t xml:space="preserve">W125</t>
  </si>
  <si>
    <t xml:space="preserve">L01, L02</t>
  </si>
  <si>
    <t xml:space="preserve">Pennsylvania Avenue line (Georgetown–Navy Yard); 7th Street line</t>
  </si>
  <si>
    <t xml:space="preserve">Capital Traction family</t>
  </si>
  <si>
    <t xml:space="preserve">railway=tram
gauge=1435
start_date=1862
end_date=1962</t>
  </si>
  <si>
    <t xml:space="preserve">L01 1862–1962; L02 1941–1960</t>
  </si>
  <si>
    <t xml:space="preserve">W129</t>
  </si>
  <si>
    <t xml:space="preserve">L01, L32</t>
  </si>
  <si>
    <t xml:space="preserve">Pennsylvania Avenue line (Georgetown–Navy Yard); Florida Avenue / 8th Street extension</t>
  </si>
  <si>
    <t xml:space="preserve">L01 1862–1962; L32 1908–1962</t>
  </si>
  <si>
    <t xml:space="preserve">W138</t>
  </si>
  <si>
    <t xml:space="preserve">L25, L26</t>
  </si>
  <si>
    <t xml:space="preserve">Glenwood Cemetery extension; North Capitol Street / Brookland line</t>
  </si>
  <si>
    <t xml:space="preserve">railway=tram
gauge=1435
start_date=1889
end_date=1958</t>
  </si>
  <si>
    <t xml:space="preserve">L25 1889–1894; L26 1890–1958</t>
  </si>
  <si>
    <t xml:space="preserve">W012</t>
  </si>
  <si>
    <t xml:space="preserve">L16, L17, V08</t>
  </si>
  <si>
    <t xml:space="preserve">Benning Road – Kenilworth branch; Seat Pleasant branch; Washington, Baltimore &amp; Annapolis Electric Railway</t>
  </si>
  <si>
    <t xml:space="preserve">L16 1898–1949; L17 1900–1949; V08 1908–1935</t>
  </si>
  <si>
    <t xml:space="preserve">W143</t>
  </si>
  <si>
    <t xml:space="preserve">W162</t>
  </si>
  <si>
    <t xml:space="preserve">L07, L39</t>
  </si>
  <si>
    <t xml:space="preserve">P Street / Georgetown line; Cabin John line (Washington &amp; Great Falls)</t>
  </si>
  <si>
    <t xml:space="preserve">railway=tram
gauge=1435
start_date=1896
end_date=1960</t>
  </si>
  <si>
    <t xml:space="preserve">L07 1896–1935; L39 1935–1960</t>
  </si>
  <si>
    <t xml:space="preserve">W169</t>
  </si>
  <si>
    <t xml:space="preserve">W168</t>
  </si>
  <si>
    <t xml:space="preserve">L22, L55</t>
  </si>
  <si>
    <t xml:space="preserve">Belt Railway loop; City &amp; Suburban – Stanton Square / C &amp; D St NE loop</t>
  </si>
  <si>
    <t xml:space="preserve">railway=tram
gauge=1435
start_date=1875
end_date=1933
end_date:edtf=1933~</t>
  </si>
  <si>
    <t xml:space="preserve">L22 1875–1933; L55 1894–1908</t>
  </si>
  <si>
    <t xml:space="preserve">W195</t>
  </si>
  <si>
    <t xml:space="preserve">W206</t>
  </si>
  <si>
    <t xml:space="preserve">W203</t>
  </si>
  <si>
    <t xml:space="preserve">L20, L21</t>
  </si>
  <si>
    <t xml:space="preserve">Capital Railway – Anacostia–Congress Heights; Portland Street / Firth Sterling spur</t>
  </si>
  <si>
    <t xml:space="preserve">railway=tram
gauge=1435
start_date=1896
end_date=1935</t>
  </si>
  <si>
    <t xml:space="preserve">L20 1896–1935; L21 1912–1923</t>
  </si>
  <si>
    <t xml:space="preserve">W204</t>
  </si>
  <si>
    <t xml:space="preserve">L01, L18</t>
  </si>
  <si>
    <t xml:space="preserve">Pennsylvania Avenue line (Georgetown–Navy Yard); Anacostia &amp; Potomac River Railroad main line</t>
  </si>
  <si>
    <t xml:space="preserve">railway=tram
gauge=1435
start_date=1862
end_date=1901
end_date:edtf=1900~</t>
  </si>
  <si>
    <t xml:space="preserve">L01 1862–1901; L18 1888–1900</t>
  </si>
  <si>
    <t xml:space="preserve">W229</t>
  </si>
  <si>
    <t xml:space="preserve">railway=tram
gauge=1435
start_date=1862
end_date=1935
end_date:edtf=1935~</t>
  </si>
  <si>
    <t xml:space="preserve">L01 1862–1901; L18 1888–1935</t>
  </si>
  <si>
    <t xml:space="preserve">W259</t>
  </si>
  <si>
    <t xml:space="preserve">W221</t>
  </si>
  <si>
    <t xml:space="preserve">L38, L39</t>
  </si>
  <si>
    <t xml:space="preserve">Glen Echo Railroad; Cabin John line (Washington &amp; Great Falls)</t>
  </si>
  <si>
    <t xml:space="preserve">L38 1896–1902; L39 1897–1960</t>
  </si>
  <si>
    <t xml:space="preserve">W243</t>
  </si>
  <si>
    <t xml:space="preserve">railway=tram
gauge=1435
start_date=1873
end_date=1960</t>
  </si>
  <si>
    <t xml:space="preserve">L07 1873–1935; L39 1935–1960</t>
  </si>
  <si>
    <t xml:space="preserve">W425</t>
  </si>
  <si>
    <t xml:space="preserve">W234</t>
  </si>
  <si>
    <t xml:space="preserve">L09, L34, L55</t>
  </si>
  <si>
    <t xml:space="preserve">East Capitol Street line; Union Station trackage; City &amp; Suburban – Stanton Square / C &amp; D St NE loop</t>
  </si>
  <si>
    <t xml:space="preserve">railway=tram
gauge=1435
start_date=1872
end_date=1962</t>
  </si>
  <si>
    <t xml:space="preserve">L09 1872–1962; L34 1908–1962; L55 1894–1908</t>
  </si>
  <si>
    <t xml:space="preserve">W242</t>
  </si>
  <si>
    <t xml:space="preserve">L28, L29</t>
  </si>
  <si>
    <t xml:space="preserve">Rhode Island Avenue – College Park line; Berwyn – Beltsville – Laurel extension</t>
  </si>
  <si>
    <t xml:space="preserve">railway=tram
gauge=1435
start_date=1900
end_date=1958</t>
  </si>
  <si>
    <t xml:space="preserve">L28 1900–1958; L29 1902–1949</t>
  </si>
  <si>
    <t xml:space="preserve">W236</t>
  </si>
  <si>
    <t xml:space="preserve">W247</t>
  </si>
  <si>
    <t xml:space="preserve">L09, L34</t>
  </si>
  <si>
    <t xml:space="preserve">East Capitol Street line; Union Station trackage</t>
  </si>
  <si>
    <t xml:space="preserve">L09 1872–1962; L34 1908–1962</t>
  </si>
  <si>
    <t xml:space="preserve">W256</t>
  </si>
  <si>
    <t xml:space="preserve">L26, L33</t>
  </si>
  <si>
    <t xml:space="preserve">North Capitol Street / Brookland line; New Jersey Avenue line</t>
  </si>
  <si>
    <t xml:space="preserve">railway=tram
gauge=1435
start_date=1890
end_date=1962</t>
  </si>
  <si>
    <t xml:space="preserve">L26 1890–1958; L33 1908–1962</t>
  </si>
  <si>
    <t xml:space="preserve">W260</t>
  </si>
  <si>
    <t xml:space="preserve">L01, L22</t>
  </si>
  <si>
    <t xml:space="preserve">Pennsylvania Avenue line (Georgetown–Navy Yard); Belt Railway loop</t>
  </si>
  <si>
    <t xml:space="preserve">L01 1862–1962; L22 1875–1933</t>
  </si>
  <si>
    <t xml:space="preserve">W273</t>
  </si>
  <si>
    <t xml:space="preserve">L51, V01</t>
  </si>
  <si>
    <t xml:space="preserve">Bureau of Engraving loop / Southwest government trackage; Washington, Alexandria &amp; Mount Vernon line</t>
  </si>
  <si>
    <t xml:space="preserve">railway=tram
gauge=1435
start_date=1895
end_date=1962</t>
  </si>
  <si>
    <t xml:space="preserve">L51 1895–1962; V01 1896–1932</t>
  </si>
  <si>
    <t xml:space="preserve">W274</t>
  </si>
  <si>
    <t xml:space="preserve">W276</t>
  </si>
  <si>
    <t xml:space="preserve">L01, L02, L34</t>
  </si>
  <si>
    <t xml:space="preserve">Pennsylvania Avenue line (Georgetown–Navy Yard); 7th Street line; Union Station trackage</t>
  </si>
  <si>
    <t xml:space="preserve">L01 1862–1962; L02 1941–1960; L34 1908–1962</t>
  </si>
  <si>
    <t xml:space="preserve">W281</t>
  </si>
  <si>
    <t xml:space="preserve">L07, L36</t>
  </si>
  <si>
    <t xml:space="preserve">P Street / Georgetown line; Georgetown &amp; Tennallytown line</t>
  </si>
  <si>
    <t xml:space="preserve">L07 1873–1896; L36 1890–1960</t>
  </si>
  <si>
    <t xml:space="preserve">W308</t>
  </si>
  <si>
    <t xml:space="preserve">W284</t>
  </si>
  <si>
    <t xml:space="preserve">L02, L08, L18</t>
  </si>
  <si>
    <t xml:space="preserve">7th Street line; 4th Street NW/SW line; Anacostia &amp; Potomac River Railroad main line</t>
  </si>
  <si>
    <t xml:space="preserve">railway=tram
gauge=1435
start_date=1872
end_date=1960</t>
  </si>
  <si>
    <t xml:space="preserve">L02 1941–1960; L08 1872–1935; L18 1900–1935</t>
  </si>
  <si>
    <t xml:space="preserve">W285</t>
  </si>
  <si>
    <t xml:space="preserve">W286</t>
  </si>
  <si>
    <t xml:space="preserve">L03, L15</t>
  </si>
  <si>
    <t xml:space="preserve">14th Street line; Columbia Railway – H Street line</t>
  </si>
  <si>
    <t xml:space="preserve">L03 1862–1962; L15 1870–1949</t>
  </si>
  <si>
    <t xml:space="preserve">W298</t>
  </si>
  <si>
    <t xml:space="preserve">W309</t>
  </si>
  <si>
    <t xml:space="preserve">W312</t>
  </si>
  <si>
    <t xml:space="preserve">L01, L56</t>
  </si>
  <si>
    <t xml:space="preserve">Pennsylvania Avenue line (Georgetown–Navy Yard); West End loops / Potomac Park terminal</t>
  </si>
  <si>
    <t xml:space="preserve">L01 1862–1962; L56 1901–1958</t>
  </si>
  <si>
    <t xml:space="preserve">W313</t>
  </si>
  <si>
    <t xml:space="preserve">L23, L25</t>
  </si>
  <si>
    <t xml:space="preserve">Eckington &amp; Soldiers' Home Railway; Glenwood Cemetery extension</t>
  </si>
  <si>
    <t xml:space="preserve">railway=tram
gauge=1435
start_date=1888
end_date=1958
end_date:edtf=1958~</t>
  </si>
  <si>
    <t xml:space="preserve">L23 1888–1958; L25 1889–1894</t>
  </si>
  <si>
    <t xml:space="preserve">W249</t>
  </si>
  <si>
    <t xml:space="preserve">Georgetown–B&amp;O Depot (Capitol Hill) line; Belt Railway loop</t>
  </si>
  <si>
    <t xml:space="preserve">railway=tram
gauge=1435
start_date=1862
end_date=1933
end_date:edtf=1933~</t>
  </si>
  <si>
    <t xml:space="preserve">L04 1862–1908; L22 1875–1933</t>
  </si>
  <si>
    <t xml:space="preserve">W314</t>
  </si>
  <si>
    <t xml:space="preserve">W361</t>
  </si>
  <si>
    <t xml:space="preserve">L22, L33, L48</t>
  </si>
  <si>
    <t xml:space="preserve">Belt Railway loop; New Jersey Avenue line; LeDroit Park line</t>
  </si>
  <si>
    <t xml:space="preserve">L22 1876–1933; L33 1908–1962; L48 1875–1935</t>
  </si>
  <si>
    <t xml:space="preserve">W320</t>
  </si>
  <si>
    <t xml:space="preserve">W324</t>
  </si>
  <si>
    <t xml:space="preserve">L18, L22</t>
  </si>
  <si>
    <t xml:space="preserve">Anacostia &amp; Potomac River Railroad main line; Belt Railway loop</t>
  </si>
  <si>
    <t xml:space="preserve">railway=tram
gauge=1435
start_date=1875
end_date=1935
end_date:edtf=1935~</t>
  </si>
  <si>
    <t xml:space="preserve">L18 1888–1935; L22 1875–1933</t>
  </si>
  <si>
    <t xml:space="preserve">W185</t>
  </si>
  <si>
    <t xml:space="preserve">L07 1873–1896; L39 1935–1960</t>
  </si>
  <si>
    <t xml:space="preserve">W348</t>
  </si>
  <si>
    <t xml:space="preserve">W335</t>
  </si>
  <si>
    <t xml:space="preserve">W340</t>
  </si>
  <si>
    <t xml:space="preserve">L08 1872–1935; L18 1875–1900</t>
  </si>
  <si>
    <t xml:space="preserve">W341</t>
  </si>
  <si>
    <t xml:space="preserve">L01, L05</t>
  </si>
  <si>
    <t xml:space="preserve">Pennsylvania Avenue line (Georgetown–Navy Yard); Metropolitan main line (Capitol–War Dept; later F St/D St line)</t>
  </si>
  <si>
    <t xml:space="preserve">L01 1862–1962; L05 1865–1961</t>
  </si>
  <si>
    <t xml:space="preserve">W342</t>
  </si>
  <si>
    <t xml:space="preserve">L18 1875–1935; L22 1875–1933</t>
  </si>
  <si>
    <t xml:space="preserve">W345</t>
  </si>
  <si>
    <t xml:space="preserve">L06, L31</t>
  </si>
  <si>
    <t xml:space="preserve">9th Street line; U Street line</t>
  </si>
  <si>
    <t xml:space="preserve">L06 1872–1933; L31 1893–1962</t>
  </si>
  <si>
    <t xml:space="preserve">W349</t>
  </si>
  <si>
    <t xml:space="preserve">L01, L36</t>
  </si>
  <si>
    <t xml:space="preserve">Pennsylvania Avenue line (Georgetown–Navy Yard); Georgetown &amp; Tennallytown line</t>
  </si>
  <si>
    <t xml:space="preserve">railway=tram
gauge=1435
start_date=1890
end_date=1960</t>
  </si>
  <si>
    <t xml:space="preserve">L01 1936–1960; L36 1890–1960</t>
  </si>
  <si>
    <t xml:space="preserve">W248</t>
  </si>
  <si>
    <t xml:space="preserve">L04, L22, L58</t>
  </si>
  <si>
    <t xml:space="preserve">Georgetown–B&amp;O Depot (Capitol Hill) line; Belt Railway loop; Louisiana Ave trackage (route 20 to Union Station)</t>
  </si>
  <si>
    <t xml:space="preserve">railway=tram
gauge=1435
start_date=1862
end_date=1949</t>
  </si>
  <si>
    <t xml:space="preserve">L04 1862–1908; L22 1875–1933; L58 1908–1949</t>
  </si>
  <si>
    <t xml:space="preserve">W358</t>
  </si>
  <si>
    <t xml:space="preserve">W360</t>
  </si>
  <si>
    <t xml:space="preserve">L04, L55</t>
  </si>
  <si>
    <t xml:space="preserve">Georgetown–B&amp;O Depot (Capitol Hill) line; City &amp; Suburban – Stanton Square / C &amp; D St NE loop</t>
  </si>
  <si>
    <t xml:space="preserve">railway=tram
gauge=1435
start_date=1862
end_date=1961</t>
  </si>
  <si>
    <t xml:space="preserve">L04 1862–1908; L55 1894–1908</t>
  </si>
  <si>
    <t xml:space="preserve">W365</t>
  </si>
  <si>
    <t xml:space="preserve">W396</t>
  </si>
  <si>
    <t xml:space="preserve">L06, L15</t>
  </si>
  <si>
    <t xml:space="preserve">9th Street line; Columbia Railway – H Street line</t>
  </si>
  <si>
    <t xml:space="preserve">railway=tram
gauge=1435
start_date=1870
end_date=1949</t>
  </si>
  <si>
    <t xml:space="preserve">L06 1872–1933; L15 1870–1949</t>
  </si>
  <si>
    <t xml:space="preserve">W367</t>
  </si>
  <si>
    <t xml:space="preserve">L12, L41</t>
  </si>
  <si>
    <t xml:space="preserve">Georgia Avenue (7th St Extended / Brightwood) line; Forest Glen line</t>
  </si>
  <si>
    <t xml:space="preserve">railway=tram
gauge=1435
start_date=1893
end_date=1960</t>
  </si>
  <si>
    <t xml:space="preserve">L12 1893–1960; L41 1897–1924</t>
  </si>
  <si>
    <t xml:space="preserve">W369</t>
  </si>
  <si>
    <t xml:space="preserve">L02, L18, L22</t>
  </si>
  <si>
    <t xml:space="preserve">7th Street line; Anacostia &amp; Potomac River Railroad main line; Belt Railway loop</t>
  </si>
  <si>
    <t xml:space="preserve">railway=tram
gauge=1435
start_date=1875
end_date=1960</t>
  </si>
  <si>
    <t xml:space="preserve">L02 1941–1960; L18 1888–1935; L22 1875–1933</t>
  </si>
  <si>
    <t xml:space="preserve">W375</t>
  </si>
  <si>
    <t xml:space="preserve">Belt Railway loop; Washington, Alexandria &amp; Mount Vernon line</t>
  </si>
  <si>
    <t xml:space="preserve">L22 1875–1933; V01 1896–1932</t>
  </si>
  <si>
    <t xml:space="preserve">W427</t>
  </si>
  <si>
    <t xml:space="preserve">L07 1873–1935; L36 1890–1960</t>
  </si>
  <si>
    <t xml:space="preserve">W390</t>
  </si>
  <si>
    <t xml:space="preserve">L02, L08</t>
  </si>
  <si>
    <t xml:space="preserve">7th Street line; 4th Street NW/SW line</t>
  </si>
  <si>
    <t xml:space="preserve">L02 1875–1960; L08 1872–1935</t>
  </si>
  <si>
    <t xml:space="preserve">W373</t>
  </si>
  <si>
    <t xml:space="preserve">7th Street line; Anacostia &amp; Potomac River Railroad main line</t>
  </si>
  <si>
    <t xml:space="preserve">railway=tram
gauge=1435
start_date=1888
end_date=1960</t>
  </si>
  <si>
    <t xml:space="preserve">L02 1941–1960; L18 1888–1935</t>
  </si>
  <si>
    <t xml:space="preserve">W329</t>
  </si>
  <si>
    <t xml:space="preserve">W058</t>
  </si>
  <si>
    <t xml:space="preserve">L32, L48</t>
  </si>
  <si>
    <t xml:space="preserve">Florida Avenue / 8th Street extension; LeDroit Park line</t>
  </si>
  <si>
    <t xml:space="preserve">railway=tram
gauge=1435
start_date=1896
end_date=1962</t>
  </si>
  <si>
    <t xml:space="preserve">L32 1908–1962; L48 1896–1935</t>
  </si>
  <si>
    <t xml:space="preserve">W086</t>
  </si>
  <si>
    <t xml:space="preserve">L39, V07</t>
  </si>
  <si>
    <t xml:space="preserve">Cabin John line (Washington &amp; Great Falls); Great Falls &amp; Old Dominion (W&amp;OD Great Falls Division) into Georgetown</t>
  </si>
  <si>
    <t xml:space="preserve">railway=tram
gauge=1435
start_date=1906
end_date=1960</t>
  </si>
  <si>
    <t xml:space="preserve">L39 1935–1960; V07 1906–1923</t>
  </si>
  <si>
    <t xml:space="preserve">W378</t>
  </si>
  <si>
    <t xml:space="preserve">W412</t>
  </si>
  <si>
    <t xml:space="preserve">W405</t>
  </si>
  <si>
    <t xml:space="preserve">L04, L58</t>
  </si>
  <si>
    <t xml:space="preserve">Georgetown–B&amp;O Depot (Capitol Hill) line; Louisiana Ave trackage (route 20 to Union Station)</t>
  </si>
  <si>
    <t xml:space="preserve">L04 1862–1908; L58 1908–1949</t>
  </si>
  <si>
    <t xml:space="preserve">W406</t>
  </si>
  <si>
    <t xml:space="preserve">W386</t>
  </si>
  <si>
    <t xml:space="preserve">V02, V06</t>
  </si>
  <si>
    <t xml:space="preserve">Rosslyn branch (East Arlington); South Arlington branch (Clarendon Cutoff)</t>
  </si>
  <si>
    <t xml:space="preserve">Virginia</t>
  </si>
  <si>
    <t xml:space="preserve">railway=tram
gauge=1435
start_date=1896
end_date=1932
end_date:edtf=1932~</t>
  </si>
  <si>
    <t xml:space="preserve">V02 1896–1921; V06 1907–1932</t>
  </si>
  <si>
    <t xml:space="preserve">W408</t>
  </si>
  <si>
    <t xml:space="preserve">L33, L55</t>
  </si>
  <si>
    <t xml:space="preserve">New Jersey Avenue line; City &amp; Suburban – Stanton Square / C &amp; D St NE loop</t>
  </si>
  <si>
    <t xml:space="preserve">railway=tram
gauge=1435
start_date=1908
end_date=1962</t>
  </si>
  <si>
    <t xml:space="preserve">L33 1908–1962; L55 1908–1961</t>
  </si>
  <si>
    <t xml:space="preserve">W328</t>
  </si>
  <si>
    <t xml:space="preserve">W330</t>
  </si>
  <si>
    <t xml:space="preserve">W379</t>
  </si>
  <si>
    <t xml:space="preserve">W383</t>
  </si>
  <si>
    <t xml:space="preserve">W001</t>
  </si>
  <si>
    <t xml:space="preserve">No</t>
  </si>
  <si>
    <t xml:space="preserve">railway=tram
gauge=1435
start_date=1906
end_date=1923</t>
  </si>
  <si>
    <t xml:space="preserve">V07 1906–1923</t>
  </si>
  <si>
    <t xml:space="preserve">W002</t>
  </si>
  <si>
    <t xml:space="preserve">railway=tram
gauge=1435
start_date=1913
end_date=1921</t>
  </si>
  <si>
    <t xml:space="preserve">L40 1913–1921</t>
  </si>
  <si>
    <t xml:space="preserve">W003</t>
  </si>
  <si>
    <t xml:space="preserve">railway=tram
gauge=1435
start_date=1904
end_date=1932</t>
  </si>
  <si>
    <t xml:space="preserve">V04 1904–1932</t>
  </si>
  <si>
    <t xml:space="preserve">W004</t>
  </si>
  <si>
    <t xml:space="preserve">railway=tram
gauge=1435
start_date=1892
end_date=1932</t>
  </si>
  <si>
    <t xml:space="preserve">V01 1892–1932</t>
  </si>
  <si>
    <t xml:space="preserve">W005</t>
  </si>
  <si>
    <t xml:space="preserve">railway=tram
gauge=1435
start_date=1900
end_date=1935</t>
  </si>
  <si>
    <t xml:space="preserve">L37 1900–1935</t>
  </si>
  <si>
    <t xml:space="preserve">W006</t>
  </si>
  <si>
    <t xml:space="preserve">railway=tram
gauge=1435
start_date=1902
end_date=1948</t>
  </si>
  <si>
    <t xml:space="preserve">L29 1902–1948</t>
  </si>
  <si>
    <t xml:space="preserve">W007</t>
  </si>
  <si>
    <t xml:space="preserve">railway=tram
gauge=1435
start_date=1895
end_date=1960</t>
  </si>
  <si>
    <t xml:space="preserve">L39 1895–1960</t>
  </si>
  <si>
    <t xml:space="preserve">W008</t>
  </si>
  <si>
    <t xml:space="preserve">railway=tram
gauge=1435
start_date=1892
end_date=1935</t>
  </si>
  <si>
    <t xml:space="preserve">L30 1892–1935</t>
  </si>
  <si>
    <t xml:space="preserve">W011</t>
  </si>
  <si>
    <t xml:space="preserve">Independent</t>
  </si>
  <si>
    <t xml:space="preserve">railway=tram
gauge=1435
start_date=1912
end_date=1923</t>
  </si>
  <si>
    <t xml:space="preserve">L46 1912–1923</t>
  </si>
  <si>
    <t xml:space="preserve">W009</t>
  </si>
  <si>
    <t xml:space="preserve">railway=tram
gauge=1435
start_date=1896
end_date=1932</t>
  </si>
  <si>
    <t xml:space="preserve">V04 1896–1932</t>
  </si>
  <si>
    <t xml:space="preserve">W013</t>
  </si>
  <si>
    <t xml:space="preserve">railway=tram
gauge=1435
start_date=1908
end_date=1935</t>
  </si>
  <si>
    <t xml:space="preserve">V08 1908–1935</t>
  </si>
  <si>
    <t xml:space="preserve">W014</t>
  </si>
  <si>
    <t xml:space="preserve">V01 1896–1932</t>
  </si>
  <si>
    <t xml:space="preserve">W015</t>
  </si>
  <si>
    <t xml:space="preserve">railway=tram
gauge=1435
start_date=1910
end_date=1923</t>
  </si>
  <si>
    <t xml:space="preserve">L46 1910–1923</t>
  </si>
  <si>
    <t xml:space="preserve">W016</t>
  </si>
  <si>
    <t xml:space="preserve">railway=tram
gauge=1435
start_date=1897
end_date=1958</t>
  </si>
  <si>
    <t xml:space="preserve">L28 1897–1958</t>
  </si>
  <si>
    <t xml:space="preserve">W017</t>
  </si>
  <si>
    <t xml:space="preserve">railway=tram
gauge=1435
start_date=1896
end_date=1921</t>
  </si>
  <si>
    <t xml:space="preserve">V02 1896–1921</t>
  </si>
  <si>
    <t xml:space="preserve">W018</t>
  </si>
  <si>
    <t xml:space="preserve">railway=tram
gauge=1435
start_date=1897
end_date=1924</t>
  </si>
  <si>
    <t xml:space="preserve">L41 1897–1924</t>
  </si>
  <si>
    <t xml:space="preserve">W019</t>
  </si>
  <si>
    <t xml:space="preserve">L28 1900–1958</t>
  </si>
  <si>
    <t xml:space="preserve">W020</t>
  </si>
  <si>
    <t xml:space="preserve">railway=tram
gauge=1435
start_date=1895
end_date=1935</t>
  </si>
  <si>
    <t xml:space="preserve">L35 1895–1935</t>
  </si>
  <si>
    <t xml:space="preserve">W021</t>
  </si>
  <si>
    <t xml:space="preserve">railway=tram
gauge=1435
start_date=1902
end_date=1949</t>
  </si>
  <si>
    <t xml:space="preserve">L29 1902–1949</t>
  </si>
  <si>
    <t xml:space="preserve">W022</t>
  </si>
  <si>
    <t xml:space="preserve">L36 1890–1960</t>
  </si>
  <si>
    <t xml:space="preserve">W023</t>
  </si>
  <si>
    <t xml:space="preserve">railway=tram
gauge=1435
start_date=1891
end_date=1935</t>
  </si>
  <si>
    <t xml:space="preserve">L37 1891–1935</t>
  </si>
  <si>
    <t xml:space="preserve">W024</t>
  </si>
  <si>
    <t xml:space="preserve">railway=tram
gauge=1435
start_date=1891
end_date=1902</t>
  </si>
  <si>
    <t xml:space="preserve">L38 1891–1902</t>
  </si>
  <si>
    <t xml:space="preserve">W025</t>
  </si>
  <si>
    <t xml:space="preserve">W026</t>
  </si>
  <si>
    <t xml:space="preserve">railway=tram
gauge=1435
start_date=1907
end_date=1932
end_date:edtf=1932~</t>
  </si>
  <si>
    <t xml:space="preserve">V06 1907–1932</t>
  </si>
  <si>
    <t xml:space="preserve">W027</t>
  </si>
  <si>
    <t xml:space="preserve">railway=tram
gauge=1435
start_date=1899
end_date=1958</t>
  </si>
  <si>
    <t xml:space="preserve">L28 1899–1958</t>
  </si>
  <si>
    <t xml:space="preserve">W413</t>
  </si>
  <si>
    <t xml:space="preserve">railway=tram
gauge=1435
start_date=1900
end_date=1949</t>
  </si>
  <si>
    <t xml:space="preserve">L17 1900–1949</t>
  </si>
  <si>
    <t xml:space="preserve">W029</t>
  </si>
  <si>
    <t xml:space="preserve">railway=tram
gauge=1435
start_date=1910
end_date=1936</t>
  </si>
  <si>
    <t xml:space="preserve">L43 1910–1936</t>
  </si>
  <si>
    <t xml:space="preserve">W030</t>
  </si>
  <si>
    <t xml:space="preserve">railway=tram
gauge=1435
start_date=1897
end_date=1927</t>
  </si>
  <si>
    <t xml:space="preserve">L42 1897–1927</t>
  </si>
  <si>
    <t xml:space="preserve">W031</t>
  </si>
  <si>
    <t xml:space="preserve">railway=tram
gauge=1435
start_date=1892
end_date=1932
end_date:edtf=1932~</t>
  </si>
  <si>
    <t xml:space="preserve">V03 1892–1932</t>
  </si>
  <si>
    <t xml:space="preserve">W032</t>
  </si>
  <si>
    <t xml:space="preserve">W033</t>
  </si>
  <si>
    <t xml:space="preserve">W034</t>
  </si>
  <si>
    <t xml:space="preserve">railway=tram
gauge=1435
start_date=1906
end_date=1962</t>
  </si>
  <si>
    <t xml:space="preserve">L03 1906–1962</t>
  </si>
  <si>
    <t xml:space="preserve">W035</t>
  </si>
  <si>
    <t xml:space="preserve">railway=tram
gauge=1435
start_date=1888
end_date=1935
end_date:edtf=1935~</t>
  </si>
  <si>
    <t xml:space="preserve">L18 1888–1935</t>
  </si>
  <si>
    <t xml:space="preserve">W036</t>
  </si>
  <si>
    <t xml:space="preserve">railway=tram
gauge=1435
start_date=1906
end_date=1939
start_date:edtf=1906~</t>
  </si>
  <si>
    <t xml:space="preserve">V05 1906–1939</t>
  </si>
  <si>
    <t xml:space="preserve">W037</t>
  </si>
  <si>
    <t xml:space="preserve">W038</t>
  </si>
  <si>
    <t xml:space="preserve">L03 1862–1962</t>
  </si>
  <si>
    <t xml:space="preserve">W039</t>
  </si>
  <si>
    <t xml:space="preserve">railway=tram
gauge=1435
start_date=1875
end_date=1900
end_date:edtf=1900~</t>
  </si>
  <si>
    <t xml:space="preserve">L18 1875–1900</t>
  </si>
  <si>
    <t xml:space="preserve">W040</t>
  </si>
  <si>
    <t xml:space="preserve">W041</t>
  </si>
  <si>
    <t xml:space="preserve">W042</t>
  </si>
  <si>
    <t xml:space="preserve">L12 1890–1960</t>
  </si>
  <si>
    <t xml:space="preserve">W044</t>
  </si>
  <si>
    <t xml:space="preserve">L22 1875–1933</t>
  </si>
  <si>
    <t xml:space="preserve">W045</t>
  </si>
  <si>
    <t xml:space="preserve">railway=tram
gauge=1435
start_date=1896
end_date=1902</t>
  </si>
  <si>
    <t xml:space="preserve">L38 1896–1902</t>
  </si>
  <si>
    <t xml:space="preserve">W046</t>
  </si>
  <si>
    <t xml:space="preserve">L32 1908–1962</t>
  </si>
  <si>
    <t xml:space="preserve">W047</t>
  </si>
  <si>
    <t xml:space="preserve">L26 1899–1958</t>
  </si>
  <si>
    <t xml:space="preserve">W048</t>
  </si>
  <si>
    <t xml:space="preserve">L12 1893–1960</t>
  </si>
  <si>
    <t xml:space="preserve">W049</t>
  </si>
  <si>
    <t xml:space="preserve">railway=tram
gauge=1435
start_date=1900
end_date=1961</t>
  </si>
  <si>
    <t xml:space="preserve">L11 1900–1961</t>
  </si>
  <si>
    <t xml:space="preserve">W050</t>
  </si>
  <si>
    <t xml:space="preserve">L01 1862–1962</t>
  </si>
  <si>
    <t xml:space="preserve">W043</t>
  </si>
  <si>
    <t xml:space="preserve">railway=tram
gauge=1435
start_date=1903
end_date=1923</t>
  </si>
  <si>
    <t xml:space="preserve">L45 1903–1923</t>
  </si>
  <si>
    <t xml:space="preserve">W051</t>
  </si>
  <si>
    <t xml:space="preserve">railway=tram
gauge=1435
start_date=1888
end_date=1925</t>
  </si>
  <si>
    <t xml:space="preserve">L24 1888–1925</t>
  </si>
  <si>
    <t xml:space="preserve">W052</t>
  </si>
  <si>
    <t xml:space="preserve">railway=tram
gauge=1435
start_date=1894
end_date=1961</t>
  </si>
  <si>
    <t xml:space="preserve">L55 1894–1961</t>
  </si>
  <si>
    <t xml:space="preserve">W053</t>
  </si>
  <si>
    <t xml:space="preserve">L18 1875–1935</t>
  </si>
  <si>
    <t xml:space="preserve">W411</t>
  </si>
  <si>
    <t xml:space="preserve">L16 1898–1949</t>
  </si>
  <si>
    <t xml:space="preserve">W054</t>
  </si>
  <si>
    <t xml:space="preserve">L15 1870–1949</t>
  </si>
  <si>
    <t xml:space="preserve">W055</t>
  </si>
  <si>
    <t xml:space="preserve">L12 1873–1960</t>
  </si>
  <si>
    <t xml:space="preserve">W056</t>
  </si>
  <si>
    <t xml:space="preserve">W059</t>
  </si>
  <si>
    <t xml:space="preserve">railway=tram
gauge=1435
start_date=1873
end_date=1935</t>
  </si>
  <si>
    <t xml:space="preserve">L07 1873–1935</t>
  </si>
  <si>
    <t xml:space="preserve">W060</t>
  </si>
  <si>
    <t xml:space="preserve">railway=tram
gauge=1435
start_date=1916
end_date=1958</t>
  </si>
  <si>
    <t xml:space="preserve">L56 1916–1958</t>
  </si>
  <si>
    <t xml:space="preserve">W061</t>
  </si>
  <si>
    <t xml:space="preserve">railway=tram
gauge=1435
start_date=1892
end_date=1962</t>
  </si>
  <si>
    <t xml:space="preserve">L03 1892–1962</t>
  </si>
  <si>
    <t xml:space="preserve">W057</t>
  </si>
  <si>
    <t xml:space="preserve">L48 1896–1935</t>
  </si>
  <si>
    <t xml:space="preserve">W062</t>
  </si>
  <si>
    <t xml:space="preserve">railway=tram
gauge=1435
start_date=1901
end_date=1958</t>
  </si>
  <si>
    <t xml:space="preserve">L56 1901–1958</t>
  </si>
  <si>
    <t xml:space="preserve">W063</t>
  </si>
  <si>
    <t xml:space="preserve">L14 1893–1960</t>
  </si>
  <si>
    <t xml:space="preserve">W064</t>
  </si>
  <si>
    <t xml:space="preserve">railway=tram
gauge=1435
start_date=1873
end_date=1961</t>
  </si>
  <si>
    <t xml:space="preserve">L10 1873–1961</t>
  </si>
  <si>
    <t xml:space="preserve">W065</t>
  </si>
  <si>
    <t xml:space="preserve">W066</t>
  </si>
  <si>
    <t xml:space="preserve">railway=tram
gauge=1435
start_date=1902
end_date=1961</t>
  </si>
  <si>
    <t xml:space="preserve">L19 1902–1961</t>
  </si>
  <si>
    <t xml:space="preserve">W067</t>
  </si>
  <si>
    <t xml:space="preserve">W068</t>
  </si>
  <si>
    <t xml:space="preserve">railway=tram
gauge=1435
start_date=1917
end_date=1923</t>
  </si>
  <si>
    <t xml:space="preserve">L45 1917–1923</t>
  </si>
  <si>
    <t xml:space="preserve">W069</t>
  </si>
  <si>
    <t xml:space="preserve">W070</t>
  </si>
  <si>
    <t xml:space="preserve">L09 1872–1962</t>
  </si>
  <si>
    <t xml:space="preserve">W074</t>
  </si>
  <si>
    <t xml:space="preserve">W076</t>
  </si>
  <si>
    <t xml:space="preserve">railway=tram
gauge=1435
start_date=1893
end_date=1962</t>
  </si>
  <si>
    <t xml:space="preserve">L31 1893–1962</t>
  </si>
  <si>
    <t xml:space="preserve">W077</t>
  </si>
  <si>
    <t xml:space="preserve">W078</t>
  </si>
  <si>
    <t xml:space="preserve">L19 1875–1961</t>
  </si>
  <si>
    <t xml:space="preserve">W080</t>
  </si>
  <si>
    <t xml:space="preserve">railway=tram
gauge=1435
start_date=1872
end_date=1933</t>
  </si>
  <si>
    <t xml:space="preserve">L06 1872–1933</t>
  </si>
  <si>
    <t xml:space="preserve">W081</t>
  </si>
  <si>
    <t xml:space="preserve">railway=tram
gauge=1435
start_date=1907
end_date=1962</t>
  </si>
  <si>
    <t xml:space="preserve">L03 1907–1962</t>
  </si>
  <si>
    <t xml:space="preserve">W082</t>
  </si>
  <si>
    <t xml:space="preserve">railway=tram
gauge=1435
start_date=1890
end_date=1958</t>
  </si>
  <si>
    <t xml:space="preserve">L26 1890–1958</t>
  </si>
  <si>
    <t xml:space="preserve">W083</t>
  </si>
  <si>
    <t xml:space="preserve">W087</t>
  </si>
  <si>
    <t xml:space="preserve">L13 1893–1960</t>
  </si>
  <si>
    <t xml:space="preserve">W088</t>
  </si>
  <si>
    <t xml:space="preserve">railway=tram
gauge=1435
start_date=1902
end_date=1958</t>
  </si>
  <si>
    <t xml:space="preserve">W098</t>
  </si>
  <si>
    <t xml:space="preserve">railway=tram
gauge=1435
start_date=1865
end_date=1961</t>
  </si>
  <si>
    <t xml:space="preserve">L05 1865–1961</t>
  </si>
  <si>
    <t xml:space="preserve">W090</t>
  </si>
  <si>
    <t xml:space="preserve">L02 1875–1960</t>
  </si>
  <si>
    <t xml:space="preserve">W091</t>
  </si>
  <si>
    <t xml:space="preserve">W092</t>
  </si>
  <si>
    <t xml:space="preserve">railway=tram
gauge=1435
start_date=1936
end_date=1961</t>
  </si>
  <si>
    <t xml:space="preserve">L06 1936–1961</t>
  </si>
  <si>
    <t xml:space="preserve">W085</t>
  </si>
  <si>
    <t xml:space="preserve">W093</t>
  </si>
  <si>
    <t xml:space="preserve">L02 1862–1960</t>
  </si>
  <si>
    <t xml:space="preserve">W094</t>
  </si>
  <si>
    <t xml:space="preserve">W097</t>
  </si>
  <si>
    <t xml:space="preserve">W099</t>
  </si>
  <si>
    <t xml:space="preserve">W103</t>
  </si>
  <si>
    <t xml:space="preserve">W100</t>
  </si>
  <si>
    <t xml:space="preserve">W104</t>
  </si>
  <si>
    <t xml:space="preserve">W105</t>
  </si>
  <si>
    <t xml:space="preserve">railway=tram
gauge=1435
start_date=1901
end_date=1962</t>
  </si>
  <si>
    <t xml:space="preserve">L01 1901–1962</t>
  </si>
  <si>
    <t xml:space="preserve">W106</t>
  </si>
  <si>
    <t xml:space="preserve">W107</t>
  </si>
  <si>
    <t xml:space="preserve">railway=tram
gauge=1435
start_date=1894
end_date=1908</t>
  </si>
  <si>
    <t xml:space="preserve">L55 1894–1908</t>
  </si>
  <si>
    <t xml:space="preserve">W108</t>
  </si>
  <si>
    <t xml:space="preserve">W109</t>
  </si>
  <si>
    <t xml:space="preserve">W110</t>
  </si>
  <si>
    <t xml:space="preserve">L20 1896–1935</t>
  </si>
  <si>
    <t xml:space="preserve">W111</t>
  </si>
  <si>
    <t xml:space="preserve">W122</t>
  </si>
  <si>
    <t xml:space="preserve">W112</t>
  </si>
  <si>
    <t xml:space="preserve">W116</t>
  </si>
  <si>
    <t xml:space="preserve">W113</t>
  </si>
  <si>
    <t xml:space="preserve">W072</t>
  </si>
  <si>
    <t xml:space="preserve">railway=tram
gauge=1435
start_date=1897
end_date=1960</t>
  </si>
  <si>
    <t xml:space="preserve">L39 1897–1960</t>
  </si>
  <si>
    <t xml:space="preserve">W114</t>
  </si>
  <si>
    <t xml:space="preserve">W115</t>
  </si>
  <si>
    <t xml:space="preserve">L33 1908–1962</t>
  </si>
  <si>
    <t xml:space="preserve">W117</t>
  </si>
  <si>
    <t xml:space="preserve">W118</t>
  </si>
  <si>
    <t xml:space="preserve">railway=tram
gauge=1435
start_date=1891
end_date=1958
end_date:edtf=1958~</t>
  </si>
  <si>
    <t xml:space="preserve">L27 1891–1958</t>
  </si>
  <si>
    <t xml:space="preserve">W119</t>
  </si>
  <si>
    <t xml:space="preserve">W120</t>
  </si>
  <si>
    <t xml:space="preserve">railway=tram
gauge=1435
start_date=1883
end_date=1961</t>
  </si>
  <si>
    <t xml:space="preserve">L10 1883–1961</t>
  </si>
  <si>
    <t xml:space="preserve">W121</t>
  </si>
  <si>
    <t xml:space="preserve">W123</t>
  </si>
  <si>
    <t xml:space="preserve">W124</t>
  </si>
  <si>
    <t xml:space="preserve">L23 1888–1958</t>
  </si>
  <si>
    <t xml:space="preserve">W139</t>
  </si>
  <si>
    <t xml:space="preserve">W102</t>
  </si>
  <si>
    <t xml:space="preserve">railway=tram
gauge=1435
start_date=1923
end_date=1956</t>
  </si>
  <si>
    <t xml:space="preserve">L49 1923–1956</t>
  </si>
  <si>
    <t xml:space="preserve">W128</t>
  </si>
  <si>
    <t xml:space="preserve">railway=tram
gauge=1435
start_date=1888
end_date=1900
end_date:edtf=1900~</t>
  </si>
  <si>
    <t xml:space="preserve">L18 1888–1900</t>
  </si>
  <si>
    <t xml:space="preserve">W130</t>
  </si>
  <si>
    <t xml:space="preserve">W132</t>
  </si>
  <si>
    <t xml:space="preserve">W131</t>
  </si>
  <si>
    <t xml:space="preserve">railway=tram
gauge=1435
start_date=1900
end_date=1935
end_date:edtf=1935~</t>
  </si>
  <si>
    <t xml:space="preserve">L18 1900–1935</t>
  </si>
  <si>
    <t xml:space="preserve">W142</t>
  </si>
  <si>
    <t xml:space="preserve">railway=tram
gauge=1435
start_date=1936
end_date=1960</t>
  </si>
  <si>
    <t xml:space="preserve">L01 1936–1960</t>
  </si>
  <si>
    <t xml:space="preserve">W133</t>
  </si>
  <si>
    <t xml:space="preserve">L08 1872–1935</t>
  </si>
  <si>
    <t xml:space="preserve">W134</t>
  </si>
  <si>
    <t xml:space="preserve">W135</t>
  </si>
  <si>
    <t xml:space="preserve">W136</t>
  </si>
  <si>
    <t xml:space="preserve">W137</t>
  </si>
  <si>
    <t xml:space="preserve">railway=tram
gauge=1435
start_date=1889
end_date=1894</t>
  </si>
  <si>
    <t xml:space="preserve">L25 1889–1894</t>
  </si>
  <si>
    <t xml:space="preserve">W140</t>
  </si>
  <si>
    <t xml:space="preserve">W141</t>
  </si>
  <si>
    <t xml:space="preserve">W153</t>
  </si>
  <si>
    <t xml:space="preserve">railway=tram
gauge=1435
start_date=1890
end_date=1899</t>
  </si>
  <si>
    <t xml:space="preserve">L30 1890–1899</t>
  </si>
  <si>
    <t xml:space="preserve">W167</t>
  </si>
  <si>
    <t xml:space="preserve">W144</t>
  </si>
  <si>
    <t xml:space="preserve">railway=tram
gauge=1435
start_date=1876
end_date=1933
end_date:edtf=1933~</t>
  </si>
  <si>
    <t xml:space="preserve">L22 1876–1933</t>
  </si>
  <si>
    <t xml:space="preserve">W145</t>
  </si>
  <si>
    <t xml:space="preserve">railway=tram
gauge=1435
start_date=1875
end_date=1935</t>
  </si>
  <si>
    <t xml:space="preserve">L48 1875–1935</t>
  </si>
  <si>
    <t xml:space="preserve">W146</t>
  </si>
  <si>
    <t xml:space="preserve">L09 1896–1962</t>
  </si>
  <si>
    <t xml:space="preserve">W147</t>
  </si>
  <si>
    <t xml:space="preserve">W148</t>
  </si>
  <si>
    <t xml:space="preserve">W149</t>
  </si>
  <si>
    <t xml:space="preserve">railway=tram
gauge=1435
start_date=1893
end_date=1895</t>
  </si>
  <si>
    <t xml:space="preserve">L53 1893–1895</t>
  </si>
  <si>
    <t xml:space="preserve">W151</t>
  </si>
  <si>
    <t xml:space="preserve">W152</t>
  </si>
  <si>
    <t xml:space="preserve">W154</t>
  </si>
  <si>
    <t xml:space="preserve">W155</t>
  </si>
  <si>
    <t xml:space="preserve">railway=tram
gauge=1435
start_date=1943
end_date=1960
start_date:edtf=1943~</t>
  </si>
  <si>
    <t xml:space="preserve">L57 1943–1960</t>
  </si>
  <si>
    <t xml:space="preserve">W156</t>
  </si>
  <si>
    <t xml:space="preserve">W157</t>
  </si>
  <si>
    <t xml:space="preserve">W158</t>
  </si>
  <si>
    <t xml:space="preserve">W161</t>
  </si>
  <si>
    <t xml:space="preserve">W150</t>
  </si>
  <si>
    <t xml:space="preserve">W159</t>
  </si>
  <si>
    <t xml:space="preserve">W163</t>
  </si>
  <si>
    <t xml:space="preserve">W177</t>
  </si>
  <si>
    <t xml:space="preserve">W164</t>
  </si>
  <si>
    <t xml:space="preserve">W165</t>
  </si>
  <si>
    <t xml:space="preserve">L21 1912–1923</t>
  </si>
  <si>
    <t xml:space="preserve">W166</t>
  </si>
  <si>
    <t xml:space="preserve">W174</t>
  </si>
  <si>
    <t xml:space="preserve">railway=tram
gauge=1435
start_date=1941
end_date=1960</t>
  </si>
  <si>
    <t xml:space="preserve">L02 1941–1960</t>
  </si>
  <si>
    <t xml:space="preserve">W175</t>
  </si>
  <si>
    <t xml:space="preserve">W160</t>
  </si>
  <si>
    <t xml:space="preserve">railway=tram
gauge=1435
start_date=1875
end_date=1916</t>
  </si>
  <si>
    <t xml:space="preserve">L01 1875–1916</t>
  </si>
  <si>
    <t xml:space="preserve">W170</t>
  </si>
  <si>
    <t xml:space="preserve">W171</t>
  </si>
  <si>
    <t xml:space="preserve">W172</t>
  </si>
  <si>
    <t xml:space="preserve">W173</t>
  </si>
  <si>
    <t xml:space="preserve">W096</t>
  </si>
  <si>
    <t xml:space="preserve">railway=tram
gauge=1435
start_date=1908
end_date=1961</t>
  </si>
  <si>
    <t xml:space="preserve">L55 1908–1961</t>
  </si>
  <si>
    <t xml:space="preserve">W182</t>
  </si>
  <si>
    <t xml:space="preserve">W176</t>
  </si>
  <si>
    <t xml:space="preserve">W180</t>
  </si>
  <si>
    <t xml:space="preserve">W095</t>
  </si>
  <si>
    <t xml:space="preserve">W181</t>
  </si>
  <si>
    <t xml:space="preserve">W183</t>
  </si>
  <si>
    <t xml:space="preserve">W184</t>
  </si>
  <si>
    <t xml:space="preserve">W186</t>
  </si>
  <si>
    <t xml:space="preserve">W187</t>
  </si>
  <si>
    <t xml:space="preserve">W127</t>
  </si>
  <si>
    <t xml:space="preserve">W188</t>
  </si>
  <si>
    <t xml:space="preserve">W189</t>
  </si>
  <si>
    <t xml:space="preserve">L34 1908–1962</t>
  </si>
  <si>
    <t xml:space="preserve">W191</t>
  </si>
  <si>
    <t xml:space="preserve">W192</t>
  </si>
  <si>
    <t xml:space="preserve">W193</t>
  </si>
  <si>
    <t xml:space="preserve">W194</t>
  </si>
  <si>
    <t xml:space="preserve">W073</t>
  </si>
  <si>
    <t xml:space="preserve">W196</t>
  </si>
  <si>
    <t xml:space="preserve">W190</t>
  </si>
  <si>
    <t xml:space="preserve">W199</t>
  </si>
  <si>
    <t xml:space="preserve">W200</t>
  </si>
  <si>
    <t xml:space="preserve">W201</t>
  </si>
  <si>
    <t xml:space="preserve">W202</t>
  </si>
  <si>
    <t xml:space="preserve">W178</t>
  </si>
  <si>
    <t xml:space="preserve">W217</t>
  </si>
  <si>
    <t xml:space="preserve">W205</t>
  </si>
  <si>
    <t xml:space="preserve">W207</t>
  </si>
  <si>
    <t xml:space="preserve">W210</t>
  </si>
  <si>
    <t xml:space="preserve">W416</t>
  </si>
  <si>
    <t xml:space="preserve">W197</t>
  </si>
  <si>
    <t xml:space="preserve">W211</t>
  </si>
  <si>
    <t xml:space="preserve">W212</t>
  </si>
  <si>
    <t xml:space="preserve">W208</t>
  </si>
  <si>
    <t xml:space="preserve">W213</t>
  </si>
  <si>
    <t xml:space="preserve">W214</t>
  </si>
  <si>
    <t xml:space="preserve">W215</t>
  </si>
  <si>
    <t xml:space="preserve">W267</t>
  </si>
  <si>
    <t xml:space="preserve">W216</t>
  </si>
  <si>
    <t xml:space="preserve">W220</t>
  </si>
  <si>
    <t xml:space="preserve">W222</t>
  </si>
  <si>
    <t xml:space="preserve">W223</t>
  </si>
  <si>
    <t xml:space="preserve">W224</t>
  </si>
  <si>
    <t xml:space="preserve">W225</t>
  </si>
  <si>
    <t xml:space="preserve">W226</t>
  </si>
  <si>
    <t xml:space="preserve">W227</t>
  </si>
  <si>
    <t xml:space="preserve">W228</t>
  </si>
  <si>
    <t xml:space="preserve">W218</t>
  </si>
  <si>
    <t xml:space="preserve">W230</t>
  </si>
  <si>
    <t xml:space="preserve">W231</t>
  </si>
  <si>
    <t xml:space="preserve">W232</t>
  </si>
  <si>
    <t xml:space="preserve">W233</t>
  </si>
  <si>
    <t xml:space="preserve">W235</t>
  </si>
  <si>
    <t xml:space="preserve">W239</t>
  </si>
  <si>
    <t xml:space="preserve">W240</t>
  </si>
  <si>
    <t xml:space="preserve">W241</t>
  </si>
  <si>
    <t xml:space="preserve">W423</t>
  </si>
  <si>
    <t xml:space="preserve">W426</t>
  </si>
  <si>
    <t xml:space="preserve">L07 1896–1935</t>
  </si>
  <si>
    <t xml:space="preserve">W237</t>
  </si>
  <si>
    <t xml:space="preserve">W244</t>
  </si>
  <si>
    <t xml:space="preserve">W126</t>
  </si>
  <si>
    <t xml:space="preserve">railway=tram
gauge=1435
start_date=1888
end_date=1900</t>
  </si>
  <si>
    <t xml:space="preserve">W250</t>
  </si>
  <si>
    <t xml:space="preserve">W251</t>
  </si>
  <si>
    <t xml:space="preserve">W252</t>
  </si>
  <si>
    <t xml:space="preserve">W253</t>
  </si>
  <si>
    <t xml:space="preserve">W254</t>
  </si>
  <si>
    <t xml:space="preserve">W415</t>
  </si>
  <si>
    <t xml:space="preserve">W255</t>
  </si>
  <si>
    <t xml:space="preserve">railway=tram
gauge=1435
start_date=1908
end_date=1949
start_date:edtf=1908~</t>
  </si>
  <si>
    <t xml:space="preserve">L58 1908–1949</t>
  </si>
  <si>
    <t xml:space="preserve">W257</t>
  </si>
  <si>
    <t xml:space="preserve">W258</t>
  </si>
  <si>
    <t xml:space="preserve">W261</t>
  </si>
  <si>
    <t xml:space="preserve">W262</t>
  </si>
  <si>
    <t xml:space="preserve">W263</t>
  </si>
  <si>
    <t xml:space="preserve">W264</t>
  </si>
  <si>
    <t xml:space="preserve">W265</t>
  </si>
  <si>
    <t xml:space="preserve">W266</t>
  </si>
  <si>
    <t xml:space="preserve">W268</t>
  </si>
  <si>
    <t xml:space="preserve">W269</t>
  </si>
  <si>
    <t xml:space="preserve">W270</t>
  </si>
  <si>
    <t xml:space="preserve">W271</t>
  </si>
  <si>
    <t xml:space="preserve">W272</t>
  </si>
  <si>
    <t xml:space="preserve">W275</t>
  </si>
  <si>
    <t xml:space="preserve">W101</t>
  </si>
  <si>
    <t xml:space="preserve">W277</t>
  </si>
  <si>
    <t xml:space="preserve">W278</t>
  </si>
  <si>
    <t xml:space="preserve">W282</t>
  </si>
  <si>
    <t xml:space="preserve">W283</t>
  </si>
  <si>
    <t xml:space="preserve">W287</t>
  </si>
  <si>
    <t xml:space="preserve">W288</t>
  </si>
  <si>
    <t xml:space="preserve">W280</t>
  </si>
  <si>
    <t xml:space="preserve">W289</t>
  </si>
  <si>
    <t xml:space="preserve">W290</t>
  </si>
  <si>
    <t xml:space="preserve">W422</t>
  </si>
  <si>
    <t xml:space="preserve">W291</t>
  </si>
  <si>
    <t xml:space="preserve">W245</t>
  </si>
  <si>
    <t xml:space="preserve">L01 1895–1962</t>
  </si>
  <si>
    <t xml:space="preserve">W292</t>
  </si>
  <si>
    <t xml:space="preserve">W293</t>
  </si>
  <si>
    <t xml:space="preserve">W294</t>
  </si>
  <si>
    <t xml:space="preserve">W295</t>
  </si>
  <si>
    <t xml:space="preserve">W296</t>
  </si>
  <si>
    <t xml:space="preserve">W297</t>
  </si>
  <si>
    <t xml:space="preserve">W299</t>
  </si>
  <si>
    <t xml:space="preserve">W300</t>
  </si>
  <si>
    <t xml:space="preserve">W304</t>
  </si>
  <si>
    <t xml:space="preserve">W305</t>
  </si>
  <si>
    <t xml:space="preserve">W306</t>
  </si>
  <si>
    <t xml:space="preserve">W351</t>
  </si>
  <si>
    <t xml:space="preserve">W307</t>
  </si>
  <si>
    <t xml:space="preserve">W310</t>
  </si>
  <si>
    <t xml:space="preserve">W311</t>
  </si>
  <si>
    <t xml:space="preserve">W315</t>
  </si>
  <si>
    <t xml:space="preserve">W316</t>
  </si>
  <si>
    <t xml:space="preserve">W317</t>
  </si>
  <si>
    <t xml:space="preserve">W318</t>
  </si>
  <si>
    <t xml:space="preserve">W010</t>
  </si>
  <si>
    <t xml:space="preserve">W319</t>
  </si>
  <si>
    <t xml:space="preserve">W321</t>
  </si>
  <si>
    <t xml:space="preserve">W322</t>
  </si>
  <si>
    <t xml:space="preserve">W323</t>
  </si>
  <si>
    <t xml:space="preserve">W424</t>
  </si>
  <si>
    <t xml:space="preserve">W325</t>
  </si>
  <si>
    <t xml:space="preserve">W326</t>
  </si>
  <si>
    <t xml:space="preserve">W327</t>
  </si>
  <si>
    <t xml:space="preserve">W331</t>
  </si>
  <si>
    <t xml:space="preserve">W332</t>
  </si>
  <si>
    <t xml:space="preserve">W333</t>
  </si>
  <si>
    <t xml:space="preserve">W334</t>
  </si>
  <si>
    <t xml:space="preserve">railway=tram
gauge=1435
start_date=1873
end_date=1896</t>
  </si>
  <si>
    <t xml:space="preserve">L07 1873–1896</t>
  </si>
  <si>
    <t xml:space="preserve">W336</t>
  </si>
  <si>
    <t xml:space="preserve">W337</t>
  </si>
  <si>
    <t xml:space="preserve">W302</t>
  </si>
  <si>
    <t xml:space="preserve">W338</t>
  </si>
  <si>
    <t xml:space="preserve">W339</t>
  </si>
  <si>
    <t xml:space="preserve">W419</t>
  </si>
  <si>
    <t xml:space="preserve">W343</t>
  </si>
  <si>
    <t xml:space="preserve">W344</t>
  </si>
  <si>
    <t xml:space="preserve">W346</t>
  </si>
  <si>
    <t xml:space="preserve">W347</t>
  </si>
  <si>
    <t xml:space="preserve">W352</t>
  </si>
  <si>
    <t xml:space="preserve">W353</t>
  </si>
  <si>
    <t xml:space="preserve">W354</t>
  </si>
  <si>
    <t xml:space="preserve">W414</t>
  </si>
  <si>
    <t xml:space="preserve">W355</t>
  </si>
  <si>
    <t xml:space="preserve">W356</t>
  </si>
  <si>
    <t xml:space="preserve">W359</t>
  </si>
  <si>
    <t xml:space="preserve">W246</t>
  </si>
  <si>
    <t xml:space="preserve">W362</t>
  </si>
  <si>
    <t xml:space="preserve">W179</t>
  </si>
  <si>
    <t xml:space="preserve">W363</t>
  </si>
  <si>
    <t xml:space="preserve">W364</t>
  </si>
  <si>
    <t xml:space="preserve">W366</t>
  </si>
  <si>
    <t xml:space="preserve">W350</t>
  </si>
  <si>
    <t xml:space="preserve">W357</t>
  </si>
  <si>
    <t xml:space="preserve">W368</t>
  </si>
  <si>
    <t xml:space="preserve">W370</t>
  </si>
  <si>
    <t xml:space="preserve">W376</t>
  </si>
  <si>
    <t xml:space="preserve">W380</t>
  </si>
  <si>
    <t xml:space="preserve">W381</t>
  </si>
  <si>
    <t xml:space="preserve">W382</t>
  </si>
  <si>
    <t xml:space="preserve">W384</t>
  </si>
  <si>
    <t xml:space="preserve">W385</t>
  </si>
  <si>
    <t xml:space="preserve">W389</t>
  </si>
  <si>
    <t xml:space="preserve">W391</t>
  </si>
  <si>
    <t xml:space="preserve">W392</t>
  </si>
  <si>
    <t xml:space="preserve">W393</t>
  </si>
  <si>
    <t xml:space="preserve">W397</t>
  </si>
  <si>
    <t xml:space="preserve">W303</t>
  </si>
  <si>
    <t xml:space="preserve">W371</t>
  </si>
  <si>
    <t xml:space="preserve">W398</t>
  </si>
  <si>
    <t xml:space="preserve">W420</t>
  </si>
  <si>
    <t xml:space="preserve">W377</t>
  </si>
  <si>
    <t xml:space="preserve">W399</t>
  </si>
  <si>
    <t xml:space="preserve">W400</t>
  </si>
  <si>
    <t xml:space="preserve">W401</t>
  </si>
  <si>
    <t xml:space="preserve">W198</t>
  </si>
  <si>
    <t xml:space="preserve">W402</t>
  </si>
  <si>
    <t xml:space="preserve">W403</t>
  </si>
  <si>
    <t xml:space="preserve">W404</t>
  </si>
  <si>
    <t xml:space="preserve">railway=tram
gauge=1435
start_date=1862
end_date=1908
end_date:edtf=1908~</t>
  </si>
  <si>
    <t xml:space="preserve">L04 1862–1908</t>
  </si>
  <si>
    <t xml:space="preserve">W417</t>
  </si>
  <si>
    <t xml:space="preserve">W407</t>
  </si>
  <si>
    <t xml:space="preserve">W409</t>
  </si>
  <si>
    <t xml:space="preserve">W374</t>
  </si>
  <si>
    <t xml:space="preserve">W372</t>
  </si>
  <si>
    <t xml:space="preserve">W394</t>
  </si>
  <si>
    <t xml:space="preserve">W279</t>
  </si>
  <si>
    <t xml:space="preserve">W388</t>
  </si>
  <si>
    <t xml:space="preserve">W301</t>
  </si>
  <si>
    <t xml:space="preserve">W387</t>
  </si>
  <si>
    <t xml:space="preserve">W421</t>
  </si>
  <si>
    <t xml:space="preserve">W209</t>
  </si>
  <si>
    <t xml:space="preserve">W219</t>
  </si>
  <si>
    <t xml:space="preserve">W395</t>
  </si>
  <si>
    <t xml:space="preserve">W418</t>
  </si>
  <si>
    <t xml:space="preserve">W238</t>
  </si>
  <si>
    <t xml:space="preserve">Node id</t>
  </si>
  <si>
    <t xml:space="preserve">railway</t>
  </si>
  <si>
    <t xml:space="preserve">Latitude</t>
  </si>
  <si>
    <t xml:space="preserve">Longitude</t>
  </si>
  <si>
    <t xml:space="preserve">Node tags (OHM)</t>
  </si>
  <si>
    <t xml:space="preserve">railway_crossing</t>
  </si>
  <si>
    <t xml:space="preserve">1949</t>
  </si>
  <si>
    <t xml:space="preserve">railway=railway_crossing
start_date=1862
end_date=1949</t>
  </si>
  <si>
    <t xml:space="preserve">1961</t>
  </si>
  <si>
    <t xml:space="preserve">railway=railway_crossing
start_date=1865
end_date=1961</t>
  </si>
  <si>
    <t xml:space="preserve">1960</t>
  </si>
  <si>
    <t xml:space="preserve">railway=railway_crossing
start_date=1865
end_date=1960</t>
  </si>
  <si>
    <t xml:space="preserve">1870</t>
  </si>
  <si>
    <t xml:space="preserve">railway=railway_crossing
start_date=1870
end_date=1949</t>
  </si>
  <si>
    <t xml:space="preserve">1933</t>
  </si>
  <si>
    <t xml:space="preserve">railway=railway_crossing
start_date=1872
end_date=1933</t>
  </si>
  <si>
    <t xml:space="preserve">railway=railway_crossing
start_date=1872
end_date=1961</t>
  </si>
  <si>
    <t xml:space="preserve">railway=railway_crossing
start_date=1875
end_date=1949</t>
  </si>
  <si>
    <t xml:space="preserve">railway=railway_crossing
start_date=1875
end_date=1933</t>
  </si>
  <si>
    <t xml:space="preserve">railway=railway_crossing
start_date=1875
end_date=1961</t>
  </si>
  <si>
    <t xml:space="preserve">1876</t>
  </si>
  <si>
    <t xml:space="preserve">railway=railway_crossing
start_date=1876
end_date=1933</t>
  </si>
  <si>
    <t xml:space="preserve">railway=railway_crossing
start_date=1888
end_date=1933</t>
  </si>
  <si>
    <t xml:space="preserve">railway=railway_crossing
start_date=1890
end_date=1949</t>
  </si>
  <si>
    <t xml:space="preserve">1958</t>
  </si>
  <si>
    <t xml:space="preserve">railway=railway_crossing
start_date=1891
end_date=1958</t>
  </si>
  <si>
    <t xml:space="preserve">railway=railway_crossing
start_date=1891
end_date=1933</t>
  </si>
  <si>
    <t xml:space="preserve">1962</t>
  </si>
  <si>
    <t xml:space="preserve">railway=railway_crossing
start_date=1893
end_date=1962</t>
  </si>
  <si>
    <t xml:space="preserve">railway=railway_crossing
start_date=1893
end_date=1961</t>
  </si>
  <si>
    <t xml:space="preserve">railway=railway_crossing
start_date=1893
end_date=1960</t>
  </si>
  <si>
    <t xml:space="preserve">railway=railway_crossing
start_date=1894
end_date=1908</t>
  </si>
  <si>
    <t xml:space="preserve">railway=railway_crossing
start_date=1895
end_date=1935</t>
  </si>
  <si>
    <t xml:space="preserve">railway=railway_crossing
start_date=1895
end_date=1960</t>
  </si>
  <si>
    <t xml:space="preserve">1921</t>
  </si>
  <si>
    <t xml:space="preserve">railway=railway_crossing
start_date=1906
end_date=1921</t>
  </si>
  <si>
    <t xml:space="preserve">1932</t>
  </si>
  <si>
    <t xml:space="preserve">railway=railway_crossing
start_date=1906
end_date=1932</t>
  </si>
  <si>
    <t xml:space="preserve">railway=railway_crossing
start_date=1907
end_date=1932</t>
  </si>
  <si>
    <t xml:space="preserve">railway=railway_crossing
start_date=1908
end_date=1935</t>
  </si>
  <si>
    <t xml:space="preserve">railway=railway_crossing
start_date=1908
end_date=1958</t>
  </si>
  <si>
    <t xml:space="preserve">railway=railway_crossing
start_date=1908
end_date=1949</t>
  </si>
  <si>
    <t xml:space="preserve">railway=railway_crossing
start_date=1908
end_date=1961</t>
  </si>
  <si>
    <t xml:space="preserve">railway=railway_crossing
start_date=1908
end_date=1962</t>
  </si>
  <si>
    <t xml:space="preserve">railway=railway_crossing
start_date=1910
end_date=1936</t>
  </si>
  <si>
    <t xml:space="preserve">1939</t>
  </si>
  <si>
    <t xml:space="preserve">railway=railway_crossing
start_date=1923
end_date=1939</t>
  </si>
  <si>
    <t xml:space="preserve">1943</t>
  </si>
  <si>
    <t xml:space="preserve">railway=railway_crossing
start_date=1943
end_date=1960</t>
  </si>
  <si>
    <t xml:space="preserve">switch</t>
  </si>
  <si>
    <t xml:space="preserve">railway=switch
start_date=1865
end_date=1961</t>
  </si>
  <si>
    <t xml:space="preserve">railway=switch
start_date=1865
end_date=1962</t>
  </si>
  <si>
    <t xml:space="preserve">railway=switch
start_date=1865
end_date=1933</t>
  </si>
  <si>
    <t xml:space="preserve">railway=switch
start_date=1870
end_date=1949</t>
  </si>
  <si>
    <t xml:space="preserve">railway=switch
start_date=1872
end_date=1933</t>
  </si>
  <si>
    <t xml:space="preserve">railway=switch
start_date=1872
end_date=1935</t>
  </si>
  <si>
    <t xml:space="preserve">railway=switch
start_date=1873
end_date=1935</t>
  </si>
  <si>
    <t xml:space="preserve">railway=switch
start_date=1873
end_date=1961</t>
  </si>
  <si>
    <t xml:space="preserve">railway=switch
start_date=1873
end_date=1960</t>
  </si>
  <si>
    <t xml:space="preserve">railway=switch
start_date=1875
end_date=1900</t>
  </si>
  <si>
    <t xml:space="preserve">railway=switch
start_date=1875
end_date=1935</t>
  </si>
  <si>
    <t xml:space="preserve">railway=switch
start_date=1875
end_date=1933</t>
  </si>
  <si>
    <t xml:space="preserve">railway=switch
start_date=1875
end_date=1960</t>
  </si>
  <si>
    <t xml:space="preserve">railway=switch
start_date=1876
end_date=1933</t>
  </si>
  <si>
    <t xml:space="preserve">railway=switch
start_date=1876
end_date=1935</t>
  </si>
  <si>
    <t xml:space="preserve">1883</t>
  </si>
  <si>
    <t xml:space="preserve">railway=switch
start_date=1883
end_date=1935</t>
  </si>
  <si>
    <t xml:space="preserve">railway=switch
start_date=1888
end_date=1900</t>
  </si>
  <si>
    <t xml:space="preserve">railway=switch
start_date=1888
end_date=1958</t>
  </si>
  <si>
    <t xml:space="preserve">railway=switch
start_date=1888
end_date=1933</t>
  </si>
  <si>
    <t xml:space="preserve">railway=switch
start_date=1889
end_date=1894</t>
  </si>
  <si>
    <t xml:space="preserve">railway=switch
start_date=1890
end_date=1935</t>
  </si>
  <si>
    <t xml:space="preserve">railway=switch
start_date=1890
end_date=1958</t>
  </si>
  <si>
    <t xml:space="preserve">railway=switch
start_date=1890
end_date=1894</t>
  </si>
  <si>
    <t xml:space="preserve">railway=switch
start_date=1890
end_date=1960</t>
  </si>
  <si>
    <t xml:space="preserve">railway=switch
start_date=1890
end_date=1933</t>
  </si>
  <si>
    <t xml:space="preserve">railway=switch
start_date=1891
end_date=1902</t>
  </si>
  <si>
    <t xml:space="preserve">railway=switch
start_date=1891
end_date=1958</t>
  </si>
  <si>
    <t xml:space="preserve">railway=switch
start_date=1891
end_date=1949</t>
  </si>
  <si>
    <t xml:space="preserve">railway=switch
start_date=1893
end_date=1960</t>
  </si>
  <si>
    <t xml:space="preserve">railway=switch
start_date=1893
end_date=1895</t>
  </si>
  <si>
    <t xml:space="preserve">railway=switch
start_date=1893
end_date=1899</t>
  </si>
  <si>
    <t xml:space="preserve">railway=switch
start_date=1893
end_date=1933</t>
  </si>
  <si>
    <t xml:space="preserve">railway=switch
start_date=1894
end_date=1962</t>
  </si>
  <si>
    <t xml:space="preserve">railway=switch
start_date=1894
end_date=1908</t>
  </si>
  <si>
    <t xml:space="preserve">railway=switch
start_date=1895
end_date=1933</t>
  </si>
  <si>
    <t xml:space="preserve">railway=switch
start_date=1895
end_date=1961</t>
  </si>
  <si>
    <t xml:space="preserve">railway=switch
start_date=1895
end_date=1962</t>
  </si>
  <si>
    <t xml:space="preserve">railway=switch
start_date=1895
end_date=1958</t>
  </si>
  <si>
    <t xml:space="preserve">railway=switch
start_date=1895
end_date=1900</t>
  </si>
  <si>
    <t xml:space="preserve">1916</t>
  </si>
  <si>
    <t xml:space="preserve">railway=switch
start_date=1895
end_date=1916</t>
  </si>
  <si>
    <t xml:space="preserve">railway=switch
start_date=1896
end_date=1921</t>
  </si>
  <si>
    <t xml:space="preserve">railway=switch
start_date=1896
end_date=1935</t>
  </si>
  <si>
    <t xml:space="preserve">railway=switch
start_date=1896
end_date=1962</t>
  </si>
  <si>
    <t xml:space="preserve">railway=switch
start_date=1896
end_date=1932</t>
  </si>
  <si>
    <t xml:space="preserve">1925</t>
  </si>
  <si>
    <t xml:space="preserve">railway=switch
start_date=1897
end_date=1925</t>
  </si>
  <si>
    <t xml:space="preserve">railway=switch
start_date=1897
end_date=1927</t>
  </si>
  <si>
    <t xml:space="preserve">railway=switch
start_date=1897
end_date=1902</t>
  </si>
  <si>
    <t xml:space="preserve">railway=switch
start_date=1897
end_date=1960</t>
  </si>
  <si>
    <t xml:space="preserve">railway=switch
start_date=1899
end_date=1925</t>
  </si>
  <si>
    <t xml:space="preserve">railway=switch
start_date=1900
end_date=1961</t>
  </si>
  <si>
    <t xml:space="preserve">railway=switch
start_date=1900
end_date=1949</t>
  </si>
  <si>
    <t xml:space="preserve">railway=switch
start_date=1901
end_date=1958</t>
  </si>
  <si>
    <t xml:space="preserve">railway=switch
start_date=1901
end_date=1962</t>
  </si>
  <si>
    <t xml:space="preserve">railway=switch
start_date=1902
end_date=1933</t>
  </si>
  <si>
    <t xml:space="preserve">1903</t>
  </si>
  <si>
    <t xml:space="preserve">railway=switch
start_date=1903
end_date=1923</t>
  </si>
  <si>
    <t xml:space="preserve">railway=switch
start_date=1906
end_date=1939</t>
  </si>
  <si>
    <t xml:space="preserve">railway=switch
start_date=1906
end_date=1923</t>
  </si>
  <si>
    <t xml:space="preserve">railway=switch
start_date=1906
end_date=1932</t>
  </si>
  <si>
    <t xml:space="preserve">railway=switch
start_date=1907
end_date=1932</t>
  </si>
  <si>
    <t xml:space="preserve">railway=switch
start_date=1907
end_date=1921</t>
  </si>
  <si>
    <t xml:space="preserve">railway=switch
start_date=1908
end_date=1935</t>
  </si>
  <si>
    <t xml:space="preserve">railway=switch
start_date=1908
end_date=1923</t>
  </si>
  <si>
    <t xml:space="preserve">railway=switch
start_date=1908
end_date=1962</t>
  </si>
  <si>
    <t xml:space="preserve">railway=switch
start_date=1908
end_date=1961</t>
  </si>
  <si>
    <t xml:space="preserve">railway=switch
start_date=1908
end_date=1949</t>
  </si>
  <si>
    <t xml:space="preserve">railway=switch
start_date=1908
end_date=1958</t>
  </si>
  <si>
    <t xml:space="preserve">railway=switch
start_date=1908
end_date=1933</t>
  </si>
  <si>
    <t xml:space="preserve">railway=switch
start_date=1910
end_date=1923</t>
  </si>
  <si>
    <t xml:space="preserve">railway=switch
start_date=1912
end_date=1923</t>
  </si>
  <si>
    <t xml:space="preserve">railway=switch
start_date=1913
end_date=1921</t>
  </si>
  <si>
    <t xml:space="preserve">railway=switch
start_date=1916
end_date=1958</t>
  </si>
  <si>
    <t xml:space="preserve">1956</t>
  </si>
  <si>
    <t xml:space="preserve">railway=switch
start_date=1923
end_date=1956</t>
  </si>
  <si>
    <t xml:space="preserve">railway=switch
start_date=1936
end_date=1961</t>
  </si>
  <si>
    <t xml:space="preserve">railway=switch
start_date=1936
end_date=1960</t>
  </si>
  <si>
    <t xml:space="preserve">1941</t>
  </si>
  <si>
    <t xml:space="preserve">railway=switch
start_date=1941
end_date=1960</t>
  </si>
  <si>
    <t xml:space="preserve">railway=switch
start_date=1943
end_date=1960</t>
  </si>
  <si>
    <t xml:space="preserve">Year</t>
  </si>
  <si>
    <t xml:space="preserve">Date</t>
  </si>
  <si>
    <t xml:space="preserve">Line ID</t>
  </si>
  <si>
    <t xml:space="preserve">Line</t>
  </si>
  <si>
    <t xml:space="preserve">Event</t>
  </si>
  <si>
    <t xml:space="preserve">May 17, 1862</t>
  </si>
  <si>
    <t xml:space="preserve">Congress incorporates the Washington &amp; Georgetown Railroad, authorizing three horsecar lines.</t>
  </si>
  <si>
    <t xml:space="preserve">WP-W&amp;G; TIN</t>
  </si>
  <si>
    <t xml:space="preserve">July 29, 1862</t>
  </si>
  <si>
    <t xml:space="preserve">First car runs on Pennsylvania Ave from the Capitol to the White House / State Dept.</t>
  </si>
  <si>
    <t xml:space="preserve">WP-PennAve; WP-W&amp;G</t>
  </si>
  <si>
    <t xml:space="preserve">Aug 12, 1862</t>
  </si>
  <si>
    <t xml:space="preserve">Line extended west to Washington Circle.</t>
  </si>
  <si>
    <t xml:space="preserve">WP-PennAve</t>
  </si>
  <si>
    <t xml:space="preserve">Aug 18, 1862</t>
  </si>
  <si>
    <t xml:space="preserve">Line extended to Georgetown (Bridge &amp; High Sts, now M St &amp; Wisconsin Ave).</t>
  </si>
  <si>
    <t xml:space="preserve">Oct 2, 1862</t>
  </si>
  <si>
    <t xml:space="preserve">Line extended east to the Navy Yard gate via A St S, Pennsylvania Ave and 8th St SE; full Georgetown–Navy Yard service begins.</t>
  </si>
  <si>
    <t xml:space="preserve">WP-PennAve; TIN</t>
  </si>
  <si>
    <t xml:space="preserve">Nov 15, 1862</t>
  </si>
  <si>
    <t xml:space="preserve">7th Street line opens from N St NW to the Potomac River.</t>
  </si>
  <si>
    <t xml:space="preserve">WP-W&amp;G</t>
  </si>
  <si>
    <t xml:space="preserve">14th St branch opens (White House – New York Ave – 14th St to Florida Ave); W&amp;G article says 'by 1870'.</t>
  </si>
  <si>
    <t xml:space="preserve">WP-14th; MPD</t>
  </si>
  <si>
    <t xml:space="preserve">1863</t>
  </si>
  <si>
    <t xml:space="preserve">Extended north to Boundary St (Florida Ave).</t>
  </si>
  <si>
    <t xml:space="preserve">WP-W&amp;G; WP</t>
  </si>
  <si>
    <t xml:space="preserve">June 30, 1864</t>
  </si>
  <si>
    <t xml:space="preserve">Law permits the line to continue north of Boundary St.</t>
  </si>
  <si>
    <t xml:space="preserve">WP-14th</t>
  </si>
  <si>
    <t xml:space="preserve">July 1, 1864</t>
  </si>
  <si>
    <t xml:space="preserve">Metropolitan Railroad chartered.</t>
  </si>
  <si>
    <t xml:space="preserve">TIN; WP-Metro</t>
  </si>
  <si>
    <t xml:space="preserve">Jan 1865</t>
  </si>
  <si>
    <t xml:space="preserve">First lines complete: Capitol to 14th &amp; I Sts NW, and H St NW from Massachusetts Ave to 17th St.</t>
  </si>
  <si>
    <t xml:space="preserve">MPD; WP-Metro</t>
  </si>
  <si>
    <t xml:space="preserve">Two-horse cars replaced by one-horse cars.</t>
  </si>
  <si>
    <t xml:space="preserve">WP-Metro</t>
  </si>
  <si>
    <t xml:space="preserve">Mar 3, 1865</t>
  </si>
  <si>
    <t xml:space="preserve">Amendment authorizes 4½ St line from Missouri Ave to P St SW (Arsenal).</t>
  </si>
  <si>
    <t xml:space="preserve">Extension authorized via A St, 1st St and East Capitol St to 9th St east.</t>
  </si>
  <si>
    <t xml:space="preserve">July 13, 1868</t>
  </si>
  <si>
    <t xml:space="preserve">Connecticut Avenue &amp; Park Railway chartered.</t>
  </si>
  <si>
    <t xml:space="preserve">May 24, 1870</t>
  </si>
  <si>
    <t xml:space="preserve">Columbia Railway chartered: 15th &amp; New York Ave via New York Ave, K St, Massachusetts Ave and H St to 15th St NE.</t>
  </si>
  <si>
    <t xml:space="preserve">TIN; WP-Columbia</t>
  </si>
  <si>
    <t xml:space="preserve">9th Street line opens from M St NW, joining the Georgia Ave line.</t>
  </si>
  <si>
    <t xml:space="preserve">WP-Metro; MPD</t>
  </si>
  <si>
    <t xml:space="preserve">Jan 19, 1872</t>
  </si>
  <si>
    <t xml:space="preserve">Union Railroad chartered for a route to Georgetown via Connecticut Ave and P St.</t>
  </si>
  <si>
    <t xml:space="preserve">TIN</t>
  </si>
  <si>
    <t xml:space="preserve">Aug–Nov 1872</t>
  </si>
  <si>
    <t xml:space="preserve">Metropolitan absorbs the Union Railroad without congressional authority.</t>
  </si>
  <si>
    <t xml:space="preserve">Boundary &amp; Silver Spring Railway chartered (Tindall says the charter was later forfeited).</t>
  </si>
  <si>
    <t xml:space="preserve">WP-Metro; TIN</t>
  </si>
  <si>
    <t xml:space="preserve">Single track with turnouts doubled.</t>
  </si>
  <si>
    <t xml:space="preserve">WP-Columbia</t>
  </si>
  <si>
    <t xml:space="preserve">May 19, 1872</t>
  </si>
  <si>
    <t xml:space="preserve">A&amp;PR incorporated under the 1870 general incorporation law (Wikipedia: chartered May 5, 1870).</t>
  </si>
  <si>
    <t xml:space="preserve">TIN; WP-A&amp;PR</t>
  </si>
  <si>
    <t xml:space="preserve">Apr 1873</t>
  </si>
  <si>
    <t xml:space="preserve">Horsecars begin on Connecticut Ave, but only as far north as P St; tracks north of P St paved over.</t>
  </si>
  <si>
    <t xml:space="preserve">Metropolitan builds on Florida Ave and Georgia Ave to Rock Creek Church Rd.</t>
  </si>
  <si>
    <t xml:space="preserve">June 1874</t>
  </si>
  <si>
    <t xml:space="preserve">Absorbed by the Metropolitan.</t>
  </si>
  <si>
    <t xml:space="preserve">Mar 3, 1875</t>
  </si>
  <si>
    <t xml:space="preserve">Tracks moved off Capitol Grounds to 1st St W and B St S; Rock Creek crossing moved from the Pennsylvania Ave bridge to the M St bridge via 26th St.</t>
  </si>
  <si>
    <t xml:space="preserve">Authorized along Water St and P St SW to the Arsenal gate, sharing A&amp;PR tracks.</t>
  </si>
  <si>
    <t xml:space="preserve">TIN; WP-W&amp;G</t>
  </si>
  <si>
    <t xml:space="preserve">B&amp;O depot branch relocated to 1st St W and C St N, ending at New Jersey Ave.</t>
  </si>
  <si>
    <t xml:space="preserve">Feb 18, 1875</t>
  </si>
  <si>
    <t xml:space="preserve">Congress sanctions the Anacostia &amp; Potomac River Railroad.</t>
  </si>
  <si>
    <t xml:space="preserve">Line opens from the Arsenal via M St SW/SE and 11th St SE across the Navy Yard Bridge to Nichols Ave &amp; V St SE.</t>
  </si>
  <si>
    <t xml:space="preserve">WP-A&amp;PR; MPD</t>
  </si>
  <si>
    <t xml:space="preserve">Belt Railway incorporated; loop via 1st St SW, Maryland &amp; Virginia Aves, 12th St, Ohio Ave, 14th St, O St, 4th St, G St and 1st St NW.</t>
  </si>
  <si>
    <t xml:space="preserve">WP-Belt; TIN</t>
  </si>
  <si>
    <t xml:space="preserve">P St NW track added for westbound cars.</t>
  </si>
  <si>
    <t xml:space="preserve">WP-Belt</t>
  </si>
  <si>
    <t xml:space="preserve">1880</t>
  </si>
  <si>
    <t xml:space="preserve">Balance of the Georgetown / P Street route completed.</t>
  </si>
  <si>
    <t xml:space="preserve">1881</t>
  </si>
  <si>
    <t xml:space="preserve">Belt Railway extends its 11th St line north to Boundary St and south to Water St SW.</t>
  </si>
  <si>
    <t xml:space="preserve">Buried tracks between P St and Florida Ave reopened as a shuttle after residents' petition.</t>
  </si>
  <si>
    <t xml:space="preserve">by 1888</t>
  </si>
  <si>
    <t xml:space="preserve">Line built down 4th St NW/SW to P St SW, partly via unauthorized tracks on Missouri Ave, 6th St and B St.</t>
  </si>
  <si>
    <t xml:space="preserve">Oct 18, 1888</t>
  </si>
  <si>
    <t xml:space="preserve">Brightwood Railway chartered to electrify and extend to the District line.</t>
  </si>
  <si>
    <t xml:space="preserve">WP; TIN</t>
  </si>
  <si>
    <t xml:space="preserve">Aug 1, 1888</t>
  </si>
  <si>
    <t xml:space="preserve">Extensions to Congressional Cemetery (11th &amp; G Sts SE) and past Garfield Park to Center Market; Nichols Ave extended toward Alabama Ave.</t>
  </si>
  <si>
    <t xml:space="preserve">WP-A&amp;PR</t>
  </si>
  <si>
    <t xml:space="preserve">June 19, 1888</t>
  </si>
  <si>
    <t xml:space="preserve">Eckington &amp; Soldiers' Home Railway chartered.</t>
  </si>
  <si>
    <t xml:space="preserve">Oct 17, 1888</t>
  </si>
  <si>
    <t xml:space="preserve">DC's first electric streetcar opens (overhead trolley).</t>
  </si>
  <si>
    <t xml:space="preserve">Opens: 4th St NE north to Michigan Ave.</t>
  </si>
  <si>
    <t xml:space="preserve">WP; CRF; Lines sheet</t>
  </si>
  <si>
    <t xml:space="preserve">June 23, 1888</t>
  </si>
  <si>
    <t xml:space="preserve">Rock Creek Railway incorporated by the Chevy Chase Land Co. group.</t>
  </si>
  <si>
    <t xml:space="preserve">WP-RockCreek</t>
  </si>
  <si>
    <t xml:space="preserve">Aug 22, 1888</t>
  </si>
  <si>
    <t xml:space="preserve">Georgetown &amp; Tennallytown Railway chartered.</t>
  </si>
  <si>
    <t xml:space="preserve">WP-G2R</t>
  </si>
  <si>
    <t xml:space="preserve">Nov 1889 – 1890</t>
  </si>
  <si>
    <t xml:space="preserve">Judson pneumatic system tried from Florida Ave to Rock Creek Church Rd; fails in icing.</t>
  </si>
  <si>
    <t xml:space="preserve">Opens: T St, 2nd St and V St NE to Glenwood Cemetery.</t>
  </si>
  <si>
    <t xml:space="preserve">WP; MPD; Lines sheet</t>
  </si>
  <si>
    <t xml:space="preserve">Apr 12 / May 12, 1890</t>
  </si>
  <si>
    <t xml:space="preserve">DC's first cable line opens on 7th St, Arsenal to Florida Ave (3.5 mi); Wikipedia gives Apr 12, NRHP May 12.</t>
  </si>
  <si>
    <t xml:space="preserve">WP-W&amp;G; MPD</t>
  </si>
  <si>
    <t xml:space="preserve">Metropolitan sells the line to the Brightwood Railway.</t>
  </si>
  <si>
    <t xml:space="preserve">Dec 1890 – 1898</t>
  </si>
  <si>
    <t xml:space="preserve">Wheless and later Willis magnetic surface-contact systems tried on North Capitol St.</t>
  </si>
  <si>
    <t xml:space="preserve">First quarter-mile opens on Florida Ave between Connecticut Ave and 18th St (Love conduit).</t>
  </si>
  <si>
    <t xml:space="preserve">WP-RockCreek; TIN</t>
  </si>
  <si>
    <t xml:space="preserve">May 28, 1890</t>
  </si>
  <si>
    <t xml:space="preserve">Rock Creek route set: Florida Ave, 18th St, the Calvert St bridge and Connecticut Ave, plus U St to 14th St.</t>
  </si>
  <si>
    <t xml:space="preserve">Apr 25, 1890</t>
  </si>
  <si>
    <t xml:space="preserve">Service opens from M St up 32nd St and Wisconsin Ave to Tenleytown, later to Wisconsin &amp; Willard Aves.</t>
  </si>
  <si>
    <t xml:space="preserve">MPD; WP-G2R</t>
  </si>
  <si>
    <t xml:space="preserve">Mar 13, 1891</t>
  </si>
  <si>
    <t xml:space="preserve">Storage-battery cars tried between 5th &amp; New York Ave and 15th &amp; G Sts.</t>
  </si>
  <si>
    <t xml:space="preserve">Opens: 5th St from New York Ave to G St, then G St NW to 15th St (c.1890).</t>
  </si>
  <si>
    <t xml:space="preserve">MPD; LAWS; Lines sheet</t>
  </si>
  <si>
    <t xml:space="preserve">July 21, 1891</t>
  </si>
  <si>
    <t xml:space="preserve">Calvert St iron truss bridge over Rock Creek completed; bridges transferred to DC July 20.</t>
  </si>
  <si>
    <t xml:space="preserve">July 4, 1891</t>
  </si>
  <si>
    <t xml:space="preserve">Tennallytown &amp; Rockville opens 3.75 mi along Old Georgetown Rd to Bethesda Park.</t>
  </si>
  <si>
    <t xml:space="preserve">June 17 / July 10, 1891</t>
  </si>
  <si>
    <t xml:space="preserve">Glen Echo Railroad opens west from Wisconsin &amp; Willard to Conduit &amp; Walhonding Rds.</t>
  </si>
  <si>
    <t xml:space="preserve">WPMD; WP-G2R</t>
  </si>
  <si>
    <t xml:space="preserve">Aug 18, 1892</t>
  </si>
  <si>
    <t xml:space="preserve">Entire W&amp;G system running on cable; two cables haul cars between the Navy Yard and Georgetown.</t>
  </si>
  <si>
    <t xml:space="preserve">Extended up the hill to Mount Pleasant St (Park Rd); Mount Pleasant car barn built.</t>
  </si>
  <si>
    <t xml:space="preserve">Congress orders overhead electric operation and completion of the line.</t>
  </si>
  <si>
    <t xml:space="preserve">WP</t>
  </si>
  <si>
    <t xml:space="preserve">c. July 1892</t>
  </si>
  <si>
    <t xml:space="preserve">Brightwood allowed overhead wires; ordered to reach the District line within 12 months and build the Takoma branch via 5th and Umatilla Sts.</t>
  </si>
  <si>
    <t xml:space="preserve">Aug 1, 1892</t>
  </si>
  <si>
    <t xml:space="preserve">Maryland &amp; Washington Railway chartered: Rhode Island Ave from 4th St NE to the District line.</t>
  </si>
  <si>
    <t xml:space="preserve">Sept 16 / 18, 1892</t>
  </si>
  <si>
    <t xml:space="preserve">Six-mile extension up Connecticut Ave to Chevy Chase Lake opens; first DC company to run in Maryland.</t>
  </si>
  <si>
    <t xml:space="preserve">WP-RockCreek; MPD</t>
  </si>
  <si>
    <t xml:space="preserve">July 29, 1892</t>
  </si>
  <si>
    <t xml:space="preserve">Washington &amp; Great Falls Electric Railway chartered (Aqueduct Bridge to Cabin John Creek).</t>
  </si>
  <si>
    <t xml:space="preserve">TIN; WP-WRECo</t>
  </si>
  <si>
    <t xml:space="preserve">Opens: Rosslyn south through Fort Myer (N. Lynn St, N. Meade St, McNair Rd) to Nauck near Four Mile Run.</t>
  </si>
  <si>
    <t xml:space="preserve">WPVA; Lines sheet</t>
  </si>
  <si>
    <t xml:space="preserve">Spur opens via Butternut (Umatilla) St to 4th St, Takoma Park.</t>
  </si>
  <si>
    <t xml:space="preserve">Opens: Soldiers' Home by a route off Georgia Ave.</t>
  </si>
  <si>
    <t xml:space="preserve">CRF; GDC; Lines sheet</t>
  </si>
  <si>
    <t xml:space="preserve">Feb 18, 1893</t>
  </si>
  <si>
    <t xml:space="preserve">Renamed Belt Railway Company.</t>
  </si>
  <si>
    <t xml:space="preserve">Mar 2, 1893</t>
  </si>
  <si>
    <t xml:space="preserve">U St extension from 18th &amp; Florida east to 7th St NW opens.</t>
  </si>
  <si>
    <t xml:space="preserve">Double-tracked; through Georgetown–Bethesda Park service begins.</t>
  </si>
  <si>
    <t xml:space="preserve">Feb 27, 1893</t>
  </si>
  <si>
    <t xml:space="preserve">Brightwood Ry authorized to build an overhead-trolley branch via Richmond, Marshall and Kenyon Sts from Petworth to 14th St.</t>
  </si>
  <si>
    <t xml:space="preserve">Aug 23, 1894</t>
  </si>
  <si>
    <t xml:space="preserve">Authorized to extend on M St to the Aqueduct Bridge and build a 'Union Station' (Georgetown Car Barn).</t>
  </si>
  <si>
    <t xml:space="preserve">WP-W&amp;G; WP-PennAve</t>
  </si>
  <si>
    <t xml:space="preserve">Streetcar service ends.</t>
  </si>
  <si>
    <t xml:space="preserve">c.1893–95</t>
  </si>
  <si>
    <t xml:space="preserve">Brightwood ordered to vacate the Kenyon and Marshall St track between 7th and 14th Sts within a month.</t>
  </si>
  <si>
    <t xml:space="preserve">Eckington downtown loop authorized: G St, 1st St and C St NW, then around Stanton Square and along C and D Sts NE (built to 13th St).</t>
  </si>
  <si>
    <t xml:space="preserve">WA&amp;MV authorized to enter DC.</t>
  </si>
  <si>
    <t xml:space="preserve">WA&amp;MV authorized to run into DC via B St, 13½ St and E St to 14th St, then over Belt tracks to the Potomac.</t>
  </si>
  <si>
    <t xml:space="preserve">Jan 1895</t>
  </si>
  <si>
    <t xml:space="preserve">First underground-conduit electric operation in the Western Hemisphere installed on the 9th St line.</t>
  </si>
  <si>
    <t xml:space="preserve">Feb 26, 1895</t>
  </si>
  <si>
    <t xml:space="preserve">Act authorizes a single-track underground-electric loop on P, 36th, Prospect and 35th Sts in Georgetown.</t>
  </si>
  <si>
    <t xml:space="preserve">4½ Street car barn and shops built at 4th &amp; P Sts SW.</t>
  </si>
  <si>
    <t xml:space="preserve">Mar 9, 1895</t>
  </si>
  <si>
    <t xml:space="preserve">Cable operation begins (last cable line built in the US).</t>
  </si>
  <si>
    <t xml:space="preserve">Mar 2, 1895</t>
  </si>
  <si>
    <t xml:space="preserve">Capital Railway chartered.</t>
  </si>
  <si>
    <t xml:space="preserve">TIN; MPD</t>
  </si>
  <si>
    <t xml:space="preserve">Opens: Chevy Chase Lake north along Connecticut Ave to University Blvd, Kensington.</t>
  </si>
  <si>
    <t xml:space="preserve">WPMD; Lines sheet</t>
  </si>
  <si>
    <t xml:space="preserve">Sept 28, 1895</t>
  </si>
  <si>
    <t xml:space="preserve">Tracks reach the Maryland line; service begins.</t>
  </si>
  <si>
    <t xml:space="preserve">WP-WRECo</t>
  </si>
  <si>
    <t xml:space="preserve">Opens: 14th St SW to the Bureau of Engraving (service since at least 1895).</t>
  </si>
  <si>
    <t xml:space="preserve">Nov 1, 1895</t>
  </si>
  <si>
    <t xml:space="preserve">West Washington &amp; Great Falls Electric Railway founded: Wisconsin Ave junction west toward Glen Echo along today's Bradley Blvd.</t>
  </si>
  <si>
    <t xml:space="preserve">July 7, 1896</t>
  </si>
  <si>
    <t xml:space="preserve">Metropolitan system converted to underground electric.</t>
  </si>
  <si>
    <t xml:space="preserve">Extended along East Capitol St to 15th St; East Capitol St car barn built.</t>
  </si>
  <si>
    <t xml:space="preserve">May 28, 1896</t>
  </si>
  <si>
    <t xml:space="preserve">Capital Ry authorized to cross the Navy Yard bridge; built from the bridge along Nichols Ave to Congress Heights.</t>
  </si>
  <si>
    <t xml:space="preserve">Compressed-air motors tried; failure sends company into receivership.</t>
  </si>
  <si>
    <t xml:space="preserve">May 1896</t>
  </si>
  <si>
    <t xml:space="preserve">Sold at foreclosure; Bethesda Park wrecked by hurricane.</t>
  </si>
  <si>
    <t xml:space="preserve">Apr 1, 1896</t>
  </si>
  <si>
    <t xml:space="preserve">Service reaches Glen Echo, then Cabin John a month later; Chevy Chase Circle branch built.</t>
  </si>
  <si>
    <t xml:space="preserve">Falls car barn built at 38th &amp; Prospect Sts.</t>
  </si>
  <si>
    <t xml:space="preserve">WP-WRECo; MPD</t>
  </si>
  <si>
    <t xml:space="preserve">Apr 7 / June 8, 1896</t>
  </si>
  <si>
    <t xml:space="preserve">Baltimore &amp; Washington Transit incorporated; authorized to enter DC to meet the Brightwood spur.</t>
  </si>
  <si>
    <t xml:space="preserve">WP-B&amp;W</t>
  </si>
  <si>
    <t xml:space="preserve">June 10, 1896</t>
  </si>
  <si>
    <t xml:space="preserve">Belt authorized to build north on 4th St from O St across Florida Ave into LeDroit Park (Harewood, Elm, Linden, Pomeroy Sts to 7th St).</t>
  </si>
  <si>
    <t xml:space="preserve">July 1, 1896</t>
  </si>
  <si>
    <t xml:space="preserve">Acquired by the Washington &amp; Great Falls Electric Railway.</t>
  </si>
  <si>
    <t xml:space="preserve">Tracks completed; DC route from 14th &amp; B via B St, 13½ St and E St to 14th St and the Long Bridge on Belt tracks.</t>
  </si>
  <si>
    <t xml:space="preserve">TIN; WP</t>
  </si>
  <si>
    <t xml:space="preserve">Opens: Arlington Junction – Mt. Vernon Junction – along Arlington Ridge Rd – Rosslyn (Aqueduct Bridge).</t>
  </si>
  <si>
    <t xml:space="preserve">Opens: Rosslyn / DC via Clarendon, Ballston, Falls Church, Dunn Loring, Vienna and Oakton to the Fairfax County Courthouse.</t>
  </si>
  <si>
    <t xml:space="preserve">WP; WPVA; Lines sheet</t>
  </si>
  <si>
    <t xml:space="preserve">May 27, 1897</t>
  </si>
  <si>
    <t xml:space="preserve">Georgetown Car Barn / Union Depot at 36th &amp; M opens with DC's only cable loop.</t>
  </si>
  <si>
    <t xml:space="preserve">MPD; WP-CapTraction</t>
  </si>
  <si>
    <t xml:space="preserve">Sept 29, 1897</t>
  </si>
  <si>
    <t xml:space="preserve">Cable powerhouse at 14th &amp; E NW burns; cars revert to horses.</t>
  </si>
  <si>
    <t xml:space="preserve">Feb 27, 1897</t>
  </si>
  <si>
    <t xml:space="preserve">Act authorizes extension on Columbia Rd and Mount Pleasant Rd to Park Rd.</t>
  </si>
  <si>
    <t xml:space="preserve">Mar 22, 1897</t>
  </si>
  <si>
    <t xml:space="preserve">Brown magnetic surface-contact system laid from 8th &amp; M SE to the Navy Yard Bridge; removal approved Jan 20, 1899.</t>
  </si>
  <si>
    <t xml:space="preserve">Line reaches Mount Rainier.</t>
  </si>
  <si>
    <t xml:space="preserve">Sept 9, 1897</t>
  </si>
  <si>
    <t xml:space="preserve">Washington &amp; Rockville Electric Railway incorporated.</t>
  </si>
  <si>
    <t xml:space="preserve">Line reaches Glen Echo and Cabin John.</t>
  </si>
  <si>
    <t xml:space="preserve">Opens: Georgia &amp; Eastern Aves (end of Brightwood line) along Georgia Ave and Seminary Rd to the National Park Seminary, Forest Glen (2.9 mi).</t>
  </si>
  <si>
    <t xml:space="preserve">WPMD; CRF; Lines sheet</t>
  </si>
  <si>
    <t xml:space="preserve">Line built from 4th &amp; Butternut via 4th St, Aspen and Laurel Sts to Wildwood / Glen Sligo.</t>
  </si>
  <si>
    <t xml:space="preserve">Apr 20, 1898</t>
  </si>
  <si>
    <t xml:space="preserve">Pennsylvania Ave division electrified by underground conduit (west of the Capitol from Mar 20).</t>
  </si>
  <si>
    <t xml:space="preserve">WP-CapTraction</t>
  </si>
  <si>
    <t xml:space="preserve">May 26, 1898</t>
  </si>
  <si>
    <t xml:space="preserve">7th Street branch electrified (conduit).</t>
  </si>
  <si>
    <t xml:space="preserve">Feb 27, 1898</t>
  </si>
  <si>
    <t xml:space="preserve">14th Street line electrified after the 1897 powerhouse fire.</t>
  </si>
  <si>
    <t xml:space="preserve">WP-14th; WP-CapTraction</t>
  </si>
  <si>
    <t xml:space="preserve">Brightwood ordered to switch to underground electric.</t>
  </si>
  <si>
    <t xml:space="preserve">Benning Rd extension with overhead wires to Kenilworth.</t>
  </si>
  <si>
    <t xml:space="preserve">Columbia authorized to cross the Anacostia on a wooden trestle and run via Race Course Rd and the Anacostia road to the District's eastern corner.</t>
  </si>
  <si>
    <t xml:space="preserve">A&amp;PR extends the 11th St line from F St NW to Florida Ave.</t>
  </si>
  <si>
    <t xml:space="preserve">Line reaches Congress Heights (Upsal St) via Nichols Ave.</t>
  </si>
  <si>
    <t xml:space="preserve">June 24, 1898</t>
  </si>
  <si>
    <t xml:space="preserve">Absorbed by the A&amp;PR; conduit electric installed 1899.</t>
  </si>
  <si>
    <t xml:space="preserve">June 27, 1898</t>
  </si>
  <si>
    <t xml:space="preserve">Buys the Maryland &amp; Washington Railway and renames itself the City &amp; Suburban Railway of Washington.</t>
  </si>
  <si>
    <t xml:space="preserve">Dec 3, 1898</t>
  </si>
  <si>
    <t xml:space="preserve">Eckington car barn and 30 cars burn; new barn built 1899.</t>
  </si>
  <si>
    <t xml:space="preserve">1898–99</t>
  </si>
  <si>
    <t xml:space="preserve">Reaches Brentwood (1898), then Hyattsville and Riverdale (1899).</t>
  </si>
  <si>
    <t xml:space="preserve">June 18, 1898</t>
  </si>
  <si>
    <t xml:space="preserve">East Washington Heights Traction chartered.</t>
  </si>
  <si>
    <t xml:space="preserve">July 22, 1899</t>
  </si>
  <si>
    <t xml:space="preserve">Switch to electric; last DC cable car runs the next day.</t>
  </si>
  <si>
    <t xml:space="preserve">Bought by the A&amp;PR.</t>
  </si>
  <si>
    <t xml:space="preserve">WP-A&amp;PR; TIN</t>
  </si>
  <si>
    <t xml:space="preserve">1899–1900</t>
  </si>
  <si>
    <t xml:space="preserve">North Capitol service extended to Brookland / Catholic University.</t>
  </si>
  <si>
    <t xml:space="preserve">Florida Ave spur between 18th St and Connecticut Ave removed; transfer point moved to the Calvert St loop.</t>
  </si>
  <si>
    <t xml:space="preserve">WP-CapTraction; TIN</t>
  </si>
  <si>
    <t xml:space="preserve">Spring 1899</t>
  </si>
  <si>
    <t xml:space="preserve">Love conduit replaced by standard sliding-shoe conduit.</t>
  </si>
  <si>
    <t xml:space="preserve">Double-tracked; wooden trestles replaced with steel.</t>
  </si>
  <si>
    <t xml:space="preserve">June 2, 1900</t>
  </si>
  <si>
    <t xml:space="preserve">Capital Traction authorized to double-track Pennsylvania Ave SE from 8th to 15th St E with a loop around square 1078.</t>
  </si>
  <si>
    <t xml:space="preserve">June 6, 1900</t>
  </si>
  <si>
    <t xml:space="preserve">Service to Mount Pleasant begins.</t>
  </si>
  <si>
    <t xml:space="preserve">Act authorizes extension east on Columbia Rd to old 16th St (Mount Pleasant St) and north to Park St.</t>
  </si>
  <si>
    <t xml:space="preserve">LAWS; TIN</t>
  </si>
  <si>
    <t xml:space="preserve">Seat Pleasant branch connects with the Chesapeake Beach Railway.</t>
  </si>
  <si>
    <t xml:space="preserve">Apr 1900</t>
  </si>
  <si>
    <t xml:space="preserve">Last horsecar company in DC switches to electric.</t>
  </si>
  <si>
    <t xml:space="preserve">c.1900</t>
  </si>
  <si>
    <t xml:space="preserve">Tracks completed from Bethesda Park to Courthouse Square, Rockville; town withholds permission until the hotel extension is built.</t>
  </si>
  <si>
    <t xml:space="preserve">Mar 24, 1901</t>
  </si>
  <si>
    <t xml:space="preserve">West End loop opens: 17th St, G St, 25th/26th Sts and F St.</t>
  </si>
  <si>
    <t xml:space="preserve">Pennsylvania Ave SE extended from 8th St to 17th St SE (later Barney Circle).</t>
  </si>
  <si>
    <t xml:space="preserve">First West End loop opens (17th, G, 25th/26th and F Sts).</t>
  </si>
  <si>
    <t xml:space="preserve">WP-PennAve; LAWS</t>
  </si>
  <si>
    <t xml:space="preserve">Feb 4, 1902</t>
  </si>
  <si>
    <t xml:space="preserve">Metropolitan absorbed into WRECo.</t>
  </si>
  <si>
    <t xml:space="preserve">July 1, 1902</t>
  </si>
  <si>
    <t xml:space="preserve">A&amp;PR required to extend the 11th St line by double track north from Florida Ave to Lydecker Ave.</t>
  </si>
  <si>
    <t xml:space="preserve">Direct Treasury–Laurel service begins (Washington, Berwyn &amp; Laurel).</t>
  </si>
  <si>
    <t xml:space="preserve">MPD; WPMD</t>
  </si>
  <si>
    <t xml:space="preserve">Operations end except Walhonding Rd–Cabin John section, absorbed by the W&amp;GF.</t>
  </si>
  <si>
    <t xml:space="preserve">DC route changed to start at 12th &amp; D; south on 12th, west on C, south on 14th.</t>
  </si>
  <si>
    <t xml:space="preserve">c.1902–03</t>
  </si>
  <si>
    <t xml:space="preserve">City &amp; Suburban required to double-track North Capitol St from T St to Michigan Ave (overhead trolley until 1904 or paving).</t>
  </si>
  <si>
    <t xml:space="preserve">1903–07</t>
  </si>
  <si>
    <t xml:space="preserve">Takoma Park takes over the lease; line derelict and rails removed.</t>
  </si>
  <si>
    <t xml:space="preserve">WP-B&amp;W; MPD</t>
  </si>
  <si>
    <t xml:space="preserve">1903 / 1908</t>
  </si>
  <si>
    <t xml:space="preserve">Reaches Barney Circle (1903), then across the bridge to Randle Highlands (1908).</t>
  </si>
  <si>
    <t xml:space="preserve">Stanton Square track moved from the south to the north side of the square.</t>
  </si>
  <si>
    <t xml:space="preserve">Jan 29, 1903</t>
  </si>
  <si>
    <t xml:space="preserve">Great Falls &amp; Old Dominion authorized to enter DC over the Aqueduct Bridge.</t>
  </si>
  <si>
    <t xml:space="preserve">1904</t>
  </si>
  <si>
    <t xml:space="preserve">Line reaches the Woodlawn Hotel, Rockville.</t>
  </si>
  <si>
    <t xml:space="preserve">Feb 13, 1905</t>
  </si>
  <si>
    <t xml:space="preserve">Washington, Spa Spring &amp; Gretta chartered in Maryland; DC entry authorized Feb 18, 1907 and Mar 3, 1909.</t>
  </si>
  <si>
    <t xml:space="preserve">1906–07</t>
  </si>
  <si>
    <t xml:space="preserve">Extended from Park Rd to Decatur St car barn and Colorado Ave.</t>
  </si>
  <si>
    <t xml:space="preserve">Feb 12, 1906</t>
  </si>
  <si>
    <t xml:space="preserve">Cars move from the Long Bridge to the new Highway Bridge.</t>
  </si>
  <si>
    <t xml:space="preserve">c. 1906</t>
  </si>
  <si>
    <t xml:space="preserve">Opens: Clarendon – Clarendon Blvd / Fairfax Dr / N. Lynn St – Rosslyn.</t>
  </si>
  <si>
    <t xml:space="preserve">Mar – July 3, 1906</t>
  </si>
  <si>
    <t xml:space="preserve">Trial runs from Georgetown in March; scheduled service to Great Falls, VA begins July 3.</t>
  </si>
  <si>
    <t xml:space="preserve">WP-GFOD</t>
  </si>
  <si>
    <t xml:space="preserve">Opens: Clarendon southeast along Washington Blvd to Mt. Vernon Junction and Arlington Junction.</t>
  </si>
  <si>
    <t xml:space="preserve">May 23, 1908</t>
  </si>
  <si>
    <t xml:space="preserve">Branch extended east on C St and northeast on Delaware Ave to Union Station.</t>
  </si>
  <si>
    <t xml:space="preserve">Capital Traction authorized to build from 7th &amp; Florida east on Florida Ave and south on 8th St to Pennsylvania Ave, plus F St NE and Union Station connections.</t>
  </si>
  <si>
    <t xml:space="preserve">TIN; WP-CapTraction</t>
  </si>
  <si>
    <t xml:space="preserve">New Jersey Ave and Massachusetts Ave line to the Union Station plaza authorized.</t>
  </si>
  <si>
    <t xml:space="preserve">June 24 / Dec 6, 1908</t>
  </si>
  <si>
    <t xml:space="preserve">Streetcar service to Union Station begins (Wikipedia / NRHP).</t>
  </si>
  <si>
    <t xml:space="preserve">WP-CapTraction; MPD</t>
  </si>
  <si>
    <t xml:space="preserve">1908–09</t>
  </si>
  <si>
    <t xml:space="preserve">Tenallytown car barn at 5230 Wisconsin Ave replaces the 1890 barn at Calvert St.</t>
  </si>
  <si>
    <t xml:space="preserve">WP-G2R; MPD</t>
  </si>
  <si>
    <t xml:space="preserve">May 29, 1908</t>
  </si>
  <si>
    <t xml:space="preserve">Extension along 3rd St and Kennedy St to 14th &amp; Colorado authorized.</t>
  </si>
  <si>
    <t xml:space="preserve">Opens: Massachusetts Ave NW.</t>
  </si>
  <si>
    <t xml:space="preserve">CRF; Lines sheet</t>
  </si>
  <si>
    <t xml:space="preserve">Opens: Terminal at 15th &amp; H Sts NE, over Benning Rd streetcar tracks and the Benning Rd bridge to Deanwood, then its own line to Baltimore and Annapolis.</t>
  </si>
  <si>
    <t xml:space="preserve">1909</t>
  </si>
  <si>
    <t xml:space="preserve">Brightwood car house built at 5929 Georgia Ave.</t>
  </si>
  <si>
    <t xml:space="preserve">May 30, 1910</t>
  </si>
  <si>
    <t xml:space="preserve">Line reopened with gasoline cars.</t>
  </si>
  <si>
    <t xml:space="preserve">Through service begins over existing track.</t>
  </si>
  <si>
    <t xml:space="preserve">CRF; WP; Lines sheet</t>
  </si>
  <si>
    <t xml:space="preserve">Service begins from 15th &amp; H NE out Bladensburg Rd.</t>
  </si>
  <si>
    <t xml:space="preserve">Oct 17, 1910</t>
  </si>
  <si>
    <t xml:space="preserve">Merged with the WA&amp;FC into the Washington-Virginia Railway.</t>
  </si>
  <si>
    <t xml:space="preserve">TIN; WPVA</t>
  </si>
  <si>
    <t xml:space="preserve">Aug 31, 1912</t>
  </si>
  <si>
    <t xml:space="preserve">Controlling stock bought by WRECo.</t>
  </si>
  <si>
    <t xml:space="preserve">Opens: Nichols Ave along Portland St to the Firth Sterling Steel works (now part of Joint Base Anacostia-Bolling).</t>
  </si>
  <si>
    <t xml:space="preserve">MPD; Lines sheet</t>
  </si>
  <si>
    <t xml:space="preserve">Battery-car extension to Berwyn Heights; renamed Washington Interurban Railway (Oct 1912).</t>
  </si>
  <si>
    <t xml:space="preserve">MPD; TIN</t>
  </si>
  <si>
    <t xml:space="preserve">July 2, 1913</t>
  </si>
  <si>
    <t xml:space="preserve">Washington &amp; Great Falls Railway &amp; Power Co. opens to Great Falls, MD.</t>
  </si>
  <si>
    <t xml:space="preserve">WPMD; WP-WRECo</t>
  </si>
  <si>
    <t xml:space="preserve">Mar 4, 1914</t>
  </si>
  <si>
    <t xml:space="preserve">Renamed Washington &amp; Maryland Railway.</t>
  </si>
  <si>
    <t xml:space="preserve">WP-B&amp;W; TIN</t>
  </si>
  <si>
    <t xml:space="preserve">July 7 &amp; 15, 1916</t>
  </si>
  <si>
    <t xml:space="preserve">Cars return to the rebuilt Pennsylvania Ave bridge over Rock Creek (eastbound July 7, westbound July 15).</t>
  </si>
  <si>
    <t xml:space="preserve">Dec 7, 1916</t>
  </si>
  <si>
    <t xml:space="preserve">Second West End loop approved via 18th and 19th Sts to Virginia Ave.</t>
  </si>
  <si>
    <t xml:space="preserve">Second West End loop approved via 18th and 19th Sts to Virginia Ave (later the Potomac Park terminal of routes 80/82).</t>
  </si>
  <si>
    <t xml:space="preserve">May 2, 1918</t>
  </si>
  <si>
    <t xml:space="preserve">Leased by Capital Traction; Carroll Ave extension to the Sanitarium.</t>
  </si>
  <si>
    <t xml:space="preserve">Service ends; tracks removed 1926.</t>
  </si>
  <si>
    <t xml:space="preserve">Streetcar service ends (Rosslyn–Mt. Vernon Jct discontinued May 1921).</t>
  </si>
  <si>
    <t xml:space="preserve">Through service to Kensington via the Kensington Railway.</t>
  </si>
  <si>
    <t xml:space="preserve">Dec 1, 1923</t>
  </si>
  <si>
    <t xml:space="preserve">Converted to buses; the first streetcar-to-bus conversion in DC.</t>
  </si>
  <si>
    <t xml:space="preserve">CRF; WP-PennAve</t>
  </si>
  <si>
    <t xml:space="preserve">Apr 22, 1923</t>
  </si>
  <si>
    <t xml:space="preserve">Converted to buses.</t>
  </si>
  <si>
    <t xml:space="preserve">Capital Traction begins running across the new Key Bridge to a Rosslyn loop.</t>
  </si>
  <si>
    <t xml:space="preserve">W&amp;OD leaves Georgetown when the Aqueduct Bridge closes; terminal moved to Rosslyn.</t>
  </si>
  <si>
    <t xml:space="preserve">Streetcar service ends; replaced by Bus.</t>
  </si>
  <si>
    <t xml:space="preserve">Streetcar service ends; replaced by Bus G8.</t>
  </si>
  <si>
    <t xml:space="preserve">Streetcar service ends; replaced by Bus N4.</t>
  </si>
  <si>
    <t xml:space="preserve">Oct 31, 1926</t>
  </si>
  <si>
    <t xml:space="preserve">WRECo buys remaining G&amp;T stock.</t>
  </si>
  <si>
    <t xml:space="preserve">Takoma–Old Bladensburg service converted to buses.</t>
  </si>
  <si>
    <t xml:space="preserve">Jan 17, 1932</t>
  </si>
  <si>
    <t xml:space="preserve">Last Virginia streetcar leaves 12th &amp; D Sts NW.</t>
  </si>
  <si>
    <t xml:space="preserve">c. 1932</t>
  </si>
  <si>
    <t xml:space="preserve">Streetcar service ends (DC service ended Jan 17, 1932; company bankrupt 1939); replaced by Arlington &amp; Fairfax Motor Transportation Co..</t>
  </si>
  <si>
    <t xml:space="preserve">1933–34</t>
  </si>
  <si>
    <t xml:space="preserve">After the merger, WRECo's parallel Georgetown line is abandoned; Cabin John and Tenleytown cars reroute via Pennsylvania Ave.</t>
  </si>
  <si>
    <t xml:space="preserve">1933 / 1936</t>
  </si>
  <si>
    <t xml:space="preserve">Converted to buses (NRHP: 1933 with 9th St rebuilding; Ghosts of DC: 1936).</t>
  </si>
  <si>
    <t xml:space="preserve">P Street line (Dupont Circle–Wisconsin Ave) converted to buses.</t>
  </si>
  <si>
    <t xml:space="preserve">CRF; MPD</t>
  </si>
  <si>
    <t xml:space="preserve">June 16 / July 16, 1935</t>
  </si>
  <si>
    <t xml:space="preserve">Anacostia–Congress Heights converted to buses (CRF / Wikipedia dates).</t>
  </si>
  <si>
    <t xml:space="preserve">Last streetcars on the Chevy Chase line; buses from Sept 16.</t>
  </si>
  <si>
    <t xml:space="preserve">WP-RockCreek; CRF</t>
  </si>
  <si>
    <t xml:space="preserve">Rockville service ends; Wisconsin &amp; Western terminal opens.</t>
  </si>
  <si>
    <t xml:space="preserve">WP-G2R; WP</t>
  </si>
  <si>
    <t xml:space="preserve">Apr 1936</t>
  </si>
  <si>
    <t xml:space="preserve">Kennedy St / 3rd St service converted to buses.</t>
  </si>
  <si>
    <t xml:space="preserve">Streetcar service ends (April 1936 (CRF); Wikipedia says the Takoma line converted by 1937); replaced by Bus K8.</t>
  </si>
  <si>
    <t xml:space="preserve">Aug 28, 1937</t>
  </si>
  <si>
    <t xml:space="preserve">First PCC cars enter service on 14th St.</t>
  </si>
  <si>
    <t xml:space="preserve">1942</t>
  </si>
  <si>
    <t xml:space="preserve">Underground loop terminal opens at 14th &amp; C Sts SW under the Bureau of Engraving.</t>
  </si>
  <si>
    <t xml:space="preserve">c. 1943</t>
  </si>
  <si>
    <t xml:space="preserve">Opens: Turning loop off Wisconsin Ave at McLean Gardens.</t>
  </si>
  <si>
    <t xml:space="preserve">MAP1958; Lines sheet</t>
  </si>
  <si>
    <t xml:space="preserve">1945</t>
  </si>
  <si>
    <t xml:space="preserve">Seat Pleasant loop built for PCC cars.</t>
  </si>
  <si>
    <t xml:space="preserve">1948–49</t>
  </si>
  <si>
    <t xml:space="preserve">Buses replace streetcars Kenilworth–Seat Pleasant.</t>
  </si>
  <si>
    <t xml:space="preserve">by 1948</t>
  </si>
  <si>
    <t xml:space="preserve">Line truncated at Beltsville; then at Berwyn by 1956.</t>
  </si>
  <si>
    <t xml:space="preserve">Dec 24, 1948</t>
  </si>
  <si>
    <t xml:space="preserve">Tundria dates the end of streetcars across Key Bridge to Rosslyn here (conflicts with Aug 26, 1956 in Wikipedia and CRF).</t>
  </si>
  <si>
    <t xml:space="preserve">Nov 2, 1949</t>
  </si>
  <si>
    <t xml:space="preserve">Dupont Circle streetcar underpass opens (N St to R St).</t>
  </si>
  <si>
    <t xml:space="preserve">Route 10 (H St–Benning) converted to buses.</t>
  </si>
  <si>
    <t xml:space="preserve">CRF; WP-HSt</t>
  </si>
  <si>
    <t xml:space="preserve">Track closed on New York Ave, Mount Vernon Sq, H St, Benning Rd and the Benning Rd bridge to Kenilworth and Capitol Heights (routes 10, 12).</t>
  </si>
  <si>
    <t xml:space="preserve">TUN; CRF</t>
  </si>
  <si>
    <t xml:space="preserve">Aug 28, 1949</t>
  </si>
  <si>
    <t xml:space="preserve">Louisiana Ave track closed (route 20).</t>
  </si>
  <si>
    <t xml:space="preserve">Aug 26, 1956</t>
  </si>
  <si>
    <t xml:space="preserve">Last streetcar across Key Bridge; end of streetcars in Virginia.</t>
  </si>
  <si>
    <t xml:space="preserve">Sept 7, 1958</t>
  </si>
  <si>
    <t xml:space="preserve">Route 80 (Rosslyn–Brookland) converted to buses.</t>
  </si>
  <si>
    <t xml:space="preserve">WP-PennAve; CRF</t>
  </si>
  <si>
    <t xml:space="preserve">c. 1958</t>
  </si>
  <si>
    <t xml:space="preserve">Route 82 (Potomac Park–Branchville) converted to buses.</t>
  </si>
  <si>
    <t xml:space="preserve">WP-PennAve; WPMD</t>
  </si>
  <si>
    <t xml:space="preserve">Routes 80 and 82 converted to buses; Potomac Park loop out of service.</t>
  </si>
  <si>
    <t xml:space="preserve">Route 30 (Friendship Heights–Barney Circle) converted to buses.</t>
  </si>
  <si>
    <t xml:space="preserve">Georgia Ave–7th St streetcars (routes 70/72/74) converted to buses; 7th Street barn closed.</t>
  </si>
  <si>
    <t xml:space="preserve">CRF; WP; MPD</t>
  </si>
  <si>
    <t xml:space="preserve">Streetcar service ends; replaced by Bus 60.</t>
  </si>
  <si>
    <t xml:space="preserve">Route 20 converted to buses.</t>
  </si>
  <si>
    <t xml:space="preserve">Streetcar service ends (Probably Jan 3, 1960 with route 30 (inferred)); replaced by Buses.</t>
  </si>
  <si>
    <t xml:space="preserve">F St/D St service (route 42) converted to buses.</t>
  </si>
  <si>
    <t xml:space="preserve">Mount Pleasant line (routes 40/42) converted to buses.</t>
  </si>
  <si>
    <t xml:space="preserve">11th Street line (route 60) converted to buses.</t>
  </si>
  <si>
    <t xml:space="preserve">Route 42 (Mount Pleasant–13th &amp; C/D NE) converted to buses; the Stanton Square / C &amp; D St NE loop closes.</t>
  </si>
  <si>
    <t xml:space="preserve">Tracks east of 14th St last used (routes 54 and 90).</t>
  </si>
  <si>
    <t xml:space="preserve">Routes 50 and 54 end; last scheduled car leaves 14th &amp; Colorado at 2:17 am.</t>
  </si>
  <si>
    <t xml:space="preserve">WP; WP-14th</t>
  </si>
  <si>
    <t xml:space="preserve">East Capitol line (route 40/96) ends with the system.</t>
  </si>
  <si>
    <t xml:space="preserve">Streetcar service ends; replaced by Discontinued.</t>
  </si>
  <si>
    <t xml:space="preserve">Streetcar service ends; replaced by Bus 50s.</t>
  </si>
  <si>
    <t xml:space="preserve">Built routes from 'Laws Relating to Street-Railway Franchises in the District of Columbia' (1905 recompilation)</t>
  </si>
  <si>
    <t xml:space="preserve">Transcribed from the Internet Archive OCR of the 1905 edition. Street names are as written in the law (e.g., 'old Sixteenth St' is now Mount Pleasant St). Only acts whose routes were built are listed; where only part of an authorized route was built, the route text is trimmed to that part. Dates marked c. were illegible in the OCR and are estimated from the Statutes at Large citation.</t>
  </si>
  <si>
    <t xml:space="preserve">Act date</t>
  </si>
  <si>
    <t xml:space="preserve">Company</t>
  </si>
  <si>
    <t xml:space="preserve">Act</t>
  </si>
  <si>
    <t xml:space="preserve">Authorized route (as written in the law)</t>
  </si>
  <si>
    <t xml:space="preserve">Built?</t>
  </si>
  <si>
    <t xml:space="preserve">Washington &amp; Georgetown RR</t>
  </si>
  <si>
    <t xml:space="preserve">Charter</t>
  </si>
  <si>
    <t xml:space="preserve">Bridge St (M St) from High St (Wisconsin Ave), Georgetown, across the Rock Creek 'tubular' bridge to Pennsylvania Ave; Pennsylvania Ave to 15th St; 15th St south back to Pennsylvania Ave; to the foot of the Capitol grounds, around their southern boundary to Pennsylvania Ave SE; to 8th St E (Garrison St) and south to the Navy Yard gate. Lateral along the Capitol's east front, then A St to the B&amp;O depot and 1st St W back to Pennsylvania Ave. Branch on 7th St W from Boundary St to Pennsylvania Ave and the Potomac. Branch from Boundary St down 14th St W and New York Ave to Pennsylvania Ave.</t>
  </si>
  <si>
    <t xml:space="preserve">Built</t>
  </si>
  <si>
    <t xml:space="preserve">L01; L02; L03; L04</t>
  </si>
  <si>
    <t xml:space="preserve">Horse power; 5-cent fare.</t>
  </si>
  <si>
    <t xml:space="preserve">Amendment</t>
  </si>
  <si>
    <t xml:space="preserve">Extensions of the 7th St and 14th St lines north beyond Boundary St into Washington County.</t>
  </si>
  <si>
    <t xml:space="preserve">Built (route trimmed to the built portion)</t>
  </si>
  <si>
    <t xml:space="preserve">L02; L03</t>
  </si>
  <si>
    <t xml:space="preserve">Pennsylvania Ave paving act</t>
  </si>
  <si>
    <t xml:space="preserve">Track must leave the Washington Aqueduct bridge over Rock Creek; relaid on 26th St from Pennsylvania Ave to M St, then M St into Georgetown to meet the Bridge St tracks.</t>
  </si>
  <si>
    <t xml:space="preserve">Reversed in 1916 when cars returned to the rebuilt Pennsylvania Ave bridge.</t>
  </si>
  <si>
    <t xml:space="preserve">7th St W down Water St to P St S, then P St to the west side of the Arsenal gate, sharing A&amp;PR track on Water St.</t>
  </si>
  <si>
    <t xml:space="preserve">Sec. 3 of W&amp;GF amendment</t>
  </si>
  <si>
    <t xml:space="preserve">Build a passenger station at the Aqueduct Bridge and extend M St tracks to at least 120 ft west of 35th St into it; switching on M St to cease.</t>
  </si>
  <si>
    <t xml:space="preserve">Built (Georgetown Car Barn, 1897)</t>
  </si>
  <si>
    <t xml:space="preserve">Metropolitan RR</t>
  </si>
  <si>
    <t xml:space="preserve">Built portion: from the Capitol to 14th &amp; I Sts NW and on toward the War Department, with the H St NW line from Massachusetts Ave to 17th St.</t>
  </si>
  <si>
    <t xml:space="preserve">L05; L06</t>
  </si>
  <si>
    <t xml:space="preserve">Cars required every 4 minutes Capitol–B&amp;O depot–departments–Circle.</t>
  </si>
  <si>
    <t xml:space="preserve">4½ St W from D St N to the Arsenal gate; A St N and 1st St E to East Capitol St, then East Capitol St to 9th St E.</t>
  </si>
  <si>
    <t xml:space="preserve">L08; L09</t>
  </si>
  <si>
    <t xml:space="preserve">8-cent fare.</t>
  </si>
  <si>
    <t xml:space="preserve">Connecticut Avenue &amp; Park Ry</t>
  </si>
  <si>
    <t xml:space="preserve">17th St &amp; Pennsylvania Ave, 17th St to H St and Connecticut Ave, Connecticut Ave to P St (1873), extended to Boundary St (Florida Ave) by 1883.</t>
  </si>
  <si>
    <t xml:space="preserve">Built to P St (1873); to Florida Ave by 1883</t>
  </si>
  <si>
    <t xml:space="preserve">Union RR (DC Legislative Assembly)</t>
  </si>
  <si>
    <t xml:space="preserve">Connecticut Ave to P St, then P St across Rock Creek into Georgetown (the Metropolitan's P St / Georgetown line).</t>
  </si>
  <si>
    <t xml:space="preserve">Built as the Metropolitan's P St / Georgetown line</t>
  </si>
  <si>
    <t xml:space="preserve">Boundary &amp; Silver Spring Ry (DC Legislative Assembly)</t>
  </si>
  <si>
    <t xml:space="preserve">Boundary St &amp; the Rockville Turnpike (7th St extended / Georgia Ave) north to Rock Creek Church Rd.</t>
  </si>
  <si>
    <t xml:space="preserve">Built to Rock Creek Church Rd by the Metropolitan</t>
  </si>
  <si>
    <t xml:space="preserve">Tindall says the charter was forfeited.</t>
  </si>
  <si>
    <t xml:space="preserve">Aug 2, 1894</t>
  </si>
  <si>
    <t xml:space="preserve">Motive power act</t>
  </si>
  <si>
    <t xml:space="preserve">Conversion to underground electric, conditioned on extending East Capitol St from 9th to 15th St E around both sides of Lincoln Square, and from 9th St W northwest on Florida Ave to 10th St W.</t>
  </si>
  <si>
    <t xml:space="preserve">Built (East Capitol to Lincoln Park, 1896)</t>
  </si>
  <si>
    <t xml:space="preserve">Single-track underground loop from 4½ &amp; L SW down 4½ St to P St, west on P St to Water St, northwest on Water St to L St, east on L St back to 4½ St. Georgetown loop: P St from 35th to 36th St, south on 36th to Prospect, east on Prospect to 35th, north on 35th to O St.</t>
  </si>
  <si>
    <t xml:space="preserve">L07; L08</t>
  </si>
  <si>
    <t xml:space="preserve">Georgetown loop served the Georgetown Car Barn.</t>
  </si>
  <si>
    <t xml:space="preserve">Extension</t>
  </si>
  <si>
    <t xml:space="preserve">From Connecticut &amp; Florida Aves north along Columbia Rd to the west line of 18th St extended.</t>
  </si>
  <si>
    <t xml:space="preserve">From 18th St &amp; Columbia Rd east along Columbia Rd to 'old Sixteenth Street' (today's Mount Pleasant St), north to Park St; Columbia Rd to be widened to 100 ft and old 16th St to 85 ft.</t>
  </si>
  <si>
    <t xml:space="preserve">Built (Mount Pleasant service began June 6, 1900)</t>
  </si>
  <si>
    <t xml:space="preserve">Tracks barred from the new 16th St roadway.</t>
  </si>
  <si>
    <t xml:space="preserve">Anacostia &amp; Potomac River RR</t>
  </si>
  <si>
    <t xml:space="preserve">Congressional sanction</t>
  </si>
  <si>
    <t xml:space="preserve">From the north end of the Navy Yard bridge on 11th St E to M St S, then along M St to the Water St waterfront; across the bridge to Uniontown once it was rebuilt.</t>
  </si>
  <si>
    <t xml:space="preserve">From M St S &amp; 7th St E via 7th, G, 4th, E, Canal, B, 3rd Sts, Missouri Ave and 6th St to Center Market; from 7th &amp; G SE along G St to 17th St E and E St to Congressional Cemetery; Nichols Ave to the Government Hospital for the Insane.</t>
  </si>
  <si>
    <t xml:space="preserve">June 4, 1900</t>
  </si>
  <si>
    <t xml:space="preserve">A&amp;PR / Capital Traction</t>
  </si>
  <si>
    <t xml:space="preserve">Extension act</t>
  </si>
  <si>
    <t xml:space="preserve">A&amp;PR: underground line on 1st St E from E St S north to B St S, then west on B St to its tracks between 2nd and 3rd Sts W. Capital Traction: 1st &amp; C NW east on C St to Delaware Ave with a loop around square 686 (Delaware Ave, B, 1st and C Sts NE); West End loops via 17th, G and 25th Sts and via 17th, F and 26th Sts, with a G St link between 25th and 26th. Capital Traction's C St NW tracks between 1st St and New Jersey Ave to be removed.</t>
  </si>
  <si>
    <t xml:space="preserve">Built (West End loops opened Mar 24, 1901)</t>
  </si>
  <si>
    <t xml:space="preserve">L01; L04; L18</t>
  </si>
  <si>
    <t xml:space="preserve">Eleventh St line extended by double track from 11th St &amp; Florida Ave north along 11th St to Lydecker Ave. Cars may switch on old 16th St between Grant and Park Sts until the Metropolitan extends there.</t>
  </si>
  <si>
    <t xml:space="preserve">Built (became the route to 11th &amp; Monroe)</t>
  </si>
  <si>
    <t xml:space="preserve">Capitol, North O Street &amp; South Washington Ry (Belt)</t>
  </si>
  <si>
    <t xml:space="preserve">1st St W in front of the Capitol north to G St N; west on G St to 4th St W; 4th St to O St N; O St to 11th St W; south on 11th St to E St N; west on E St to 14th St W; south on 14th St to Ohio Ave; Ohio Ave to 12th St W; south on 12th St to Virginia Ave; southeast on Virginia Ave to Maryland Ave; northeast on Maryland Ave back to 1st St W.</t>
  </si>
  <si>
    <t xml:space="preserve">May 23, 1876</t>
  </si>
  <si>
    <t xml:space="preserve">Belt Railway</t>
  </si>
  <si>
    <t xml:space="preserve">Extend on 4th and 11th Sts from O St to P St, with a single one-way track on P St between 4th and 11th Sts instead of double track on O St.</t>
  </si>
  <si>
    <t xml:space="preserve">c. 1881 (21 Stat. 414)</t>
  </si>
  <si>
    <t xml:space="preserve">14th St from Ohio Ave to C St SW, east on C St to Virginia Ave. 11th St from P St north to Boundary St. 11th St from C St SW south to Water St, then east on Water St to M St S (new southern terminus). Bureau of Engraving fare to nearest junction 2¢.</t>
  </si>
  <si>
    <t xml:space="preserve">L19; L22</t>
  </si>
  <si>
    <t xml:space="preserve">From 4th &amp; O NW north on 4th St to Florida Ave, then Harewood, Elm, Linden and Pomeroy Sts to 7th St (LeDroit Park).</t>
  </si>
  <si>
    <t xml:space="preserve">Built (LeDroit Park line)</t>
  </si>
  <si>
    <t xml:space="preserve">Horsepower barred on extensions.</t>
  </si>
  <si>
    <t xml:space="preserve">Eckington &amp; Soldiers' Home Ry</t>
  </si>
  <si>
    <t xml:space="preserve">New York Ave from 7th St NW to the Eckington area (3rd St and T St NE), with the 4th St NE extension toward Bunker Hill Rd (Michigan Ave) and a branch north toward the Soldiers' Home.</t>
  </si>
  <si>
    <t xml:space="preserve">L23; L24; L26</t>
  </si>
  <si>
    <t xml:space="preserve">c. 1890 (Sec. 12)</t>
  </si>
  <si>
    <t xml:space="preserve">From New York Ave &amp; 5th St south along 5th to G St NW, west on G St to 15th St NW (underground wires required). Cemetery branch on Lincoln Ave to the Glenwood Cemetery entrance. North Capitol St branch to the Soldiers' Home.</t>
  </si>
  <si>
    <t xml:space="preserve">L25; L26; L27</t>
  </si>
  <si>
    <t xml:space="preserve">July 5, 1892</t>
  </si>
  <si>
    <t xml:space="preserve">Downtown loops from 5th &amp; G NW via G St, 1st St and C St NW, New Jersey Ave, D St; G St across New Jersey Ave to North Capitol St and north to New York Ave; 5th St south to Louisiana Ave; C St NE around Stanton Square to 15th St NE, north to D St, west on D St to 4th St NE. Bunker Hill Rd extension toward Brooks station.</t>
  </si>
  <si>
    <t xml:space="preserve">Built in revised form (see 1894)</t>
  </si>
  <si>
    <t xml:space="preserve">L27; L55</t>
  </si>
  <si>
    <t xml:space="preserve">Horse power banned; steam banned.</t>
  </si>
  <si>
    <t xml:space="preserve">Route rewritten</t>
  </si>
  <si>
    <t xml:space="preserve">5th &amp; G NW east on G St to New Jersey Ave &amp; 1st St; south on 1st to C St NW; east on C St around Stanton Square and along C and D Sts NE to a turn at 13th St; G St to North Capitol St and north to New York Ave; 5th St south to Louisiana Ave, 6th St and B St NW to near 7th St.</t>
  </si>
  <si>
    <t xml:space="preserve">Eckington &amp; S.H. / Maryland &amp; Washington</t>
  </si>
  <si>
    <t xml:space="preserve">Merger &amp; relocation act</t>
  </si>
  <si>
    <t xml:space="preserve">E&amp;SH buys the M&amp;W and becomes the City &amp; Suburban Railway. Track changes: single track moved from T &amp; 3rd / R &amp; 2nd NE to T and 2nd Sts; Eckington Pl–Florida Ave–New York Ave replaced by double track on 1st St NE; 5th St between New York Ave and G St widened to 45 ft; single track on C St NE between 1st and 4th Sts moved to D and 1st Sts.</t>
  </si>
  <si>
    <t xml:space="preserve">L23; L28</t>
  </si>
  <si>
    <t xml:space="preserve">c. 1902–03 (joint resolution)</t>
  </si>
  <si>
    <t xml:space="preserve">City &amp; Suburban Ry</t>
  </si>
  <si>
    <t xml:space="preserve">Relocation</t>
  </si>
  <si>
    <t xml:space="preserve">Stanton Square track moved from the south to the north side (4th to 6th &amp; C NE). Underground conduit on the Eckington loop (Eckington Pl, R St, 3rd St, T St, 2nd St). Double track on North Capitol St from T St to Michigan Ave and east on Michigan Ave, overhead trolley allowed until July 1, 1904 or paving.</t>
  </si>
  <si>
    <t xml:space="preserve">L23; L26; L55</t>
  </si>
  <si>
    <t xml:space="preserve">Georgetown &amp; Tennallytown Ry</t>
  </si>
  <si>
    <t xml:space="preserve">From the Potomac River near High St, along High St (Wisconsin Ave) to the Tennallytown road, then alongside that road (outside its limits) to the District line; power conduits may run under Water St.</t>
  </si>
  <si>
    <t xml:space="preserve">c. 1890 (26 Stat. 29)</t>
  </si>
  <si>
    <t xml:space="preserve">Track to run in the Tennallytown road rather than beside it.</t>
  </si>
  <si>
    <t xml:space="preserve">Brightwood Ry</t>
  </si>
  <si>
    <t xml:space="preserve">Brightwood Ave (Georgia Ave) from Boundary St to the District line; horse, cable or electric.</t>
  </si>
  <si>
    <t xml:space="preserve">c. July 1892 (27 Stat. 270)</t>
  </si>
  <si>
    <t xml:space="preserve">Overhead wires permitted. Must reach the District line within 12 months. Branch from west of the B&amp;O on 5th St, Takoma Park, along 5th St to Umatilla St, west on Umatilla across Piney Branch Rd to Brightwood Ave; cars at least every 15 minutes.</t>
  </si>
  <si>
    <t xml:space="preserve">L12; L13</t>
  </si>
  <si>
    <t xml:space="preserve">Branch</t>
  </si>
  <si>
    <t xml:space="preserve">Overhead trolley branch from Rock Creek Church Rd &amp; Richmond St (Petworth) west on Richmond St to Brightwood Ave; south on Brightwood Ave to Marshall St; west on Marshall St to Kenyon Ave; west on Kenyon to 14th St.</t>
  </si>
  <si>
    <t xml:space="preserve">Built, then ordered removed</t>
  </si>
  <si>
    <t xml:space="preserve">c. 1893–95 (date not legible)</t>
  </si>
  <si>
    <t xml:space="preserve">Abandonment order</t>
  </si>
  <si>
    <t xml:space="preserve">Must vacate its Kenyon and Marshall St track between 7th and 14th Sts and remove poles within one month; may re-equip it with underground electric within a year, or forfeit that part of the charter.</t>
  </si>
  <si>
    <t xml:space="preserve">Abandoned</t>
  </si>
  <si>
    <t xml:space="preserve">$25/day fine for delay.</t>
  </si>
  <si>
    <t xml:space="preserve">Capital Ry</t>
  </si>
  <si>
    <t xml:space="preserve">Built portion: from the Navy Yard bridge along Nichols Ave to Congress Heights.</t>
  </si>
  <si>
    <t xml:space="preserve">c. 1897</t>
  </si>
  <si>
    <t xml:space="preserve">Double overhead trolley allowed on the Navy Yard bridge (max 3.5 mph, wires in wooden trough); may adopt the Metropolitan-type conduit if its magnetic system is rejected.</t>
  </si>
  <si>
    <t xml:space="preserve">Rock Creek Ry</t>
  </si>
  <si>
    <t xml:space="preserve">Route change</t>
  </si>
  <si>
    <t xml:space="preserve">Connecticut &amp; Florida Aves east on Florida to 18th St; north on 18th to Columbia Rd; across Columbia Rd through the Cliffbourne tract to Rock Creek; public iron bridge (≥50 ft wide); northwest through Woodley Park to Connecticut Ave extended; north to the District line. Also 18th &amp; U east along U St to 14th St.</t>
  </si>
  <si>
    <t xml:space="preserve">L30; L31</t>
  </si>
  <si>
    <t xml:space="preserve">Mar 3, 1891</t>
  </si>
  <si>
    <t xml:space="preserve">May buy, lease or operate the Chevy Chase Land Co.'s Maryland line to Chevy Chase Lake.</t>
  </si>
  <si>
    <t xml:space="preserve">Apr 30, 1892</t>
  </si>
  <si>
    <t xml:space="preserve">U St terminus extended along Florida Ave.</t>
  </si>
  <si>
    <t xml:space="preserve">Double track from Pennsylvania Ave &amp; 8th St SE east along Pennsylvania Ave to 15th St E, then a single-track loop on Pennsylvania Ave, the circle, K St and 15th St around square 1078.</t>
  </si>
  <si>
    <t xml:space="preserve">Built (1901)</t>
  </si>
  <si>
    <t xml:space="preserve">Columbia Ry</t>
  </si>
  <si>
    <t xml:space="preserve">15th St &amp; New York Ave east along New York Ave to K St N; K St to Massachusetts Ave; Massachusetts Ave to H St N; H St to the Columbia turnpike gate. Option within 2 years along the Columbia Turnpike or other roads north or east; horse or dummy engines.</t>
  </si>
  <si>
    <t xml:space="preserve">6-cent fare.</t>
  </si>
  <si>
    <t xml:space="preserve">Eastward extension</t>
  </si>
  <si>
    <t xml:space="preserve">From the Benning Rd terminus to the Anacostia shore, across on a wooden trestle, then via Race Course Rd and the Anacostia road toward the District's eastern corner (Seat Pleasant).</t>
  </si>
  <si>
    <t xml:space="preserve">L16; L17</t>
  </si>
  <si>
    <t xml:space="preserve">No earth return; double trolley.</t>
  </si>
  <si>
    <t xml:space="preserve">East Washington Heights Traction RR</t>
  </si>
  <si>
    <t xml:space="preserve">From the west approach to the Pennsylvania Ave bridge (Barney Circle) across the Anacostia and along Pennsylvania Ave extended toward Randle Highlands.</t>
  </si>
  <si>
    <t xml:space="preserve">May lay a single track across the Pennsylvania Ave bridge to Capital Traction's eastern terminus; must pay half the bridge upkeep.</t>
  </si>
  <si>
    <t xml:space="preserve">Maryland &amp; Washington Ry</t>
  </si>
  <si>
    <t xml:space="preserve">From where Rhode Island Ave extended meets 4th St NE, along Rhode Island Ave extended to the northeast District line; land acquired to be dedicated as Rhode Island Ave.</t>
  </si>
  <si>
    <t xml:space="preserve">130-ft right-of-way by condemnation along the Rhode Island Ave extension plan. Also west on Rhode Island Ave to North Capitol St, then south on North Capitol over Eckington tracks to F St.</t>
  </si>
  <si>
    <t xml:space="preserve">Washington, Alexandria &amp; Mount Vernon Electric Ry</t>
  </si>
  <si>
    <t xml:space="preserve">Entry into DC</t>
  </si>
  <si>
    <t xml:space="preserve">B St between 7th and 8th Sts NW, west on B St to 13½ St, north to E St, west on E St to 14th St, then south on 14th St over Belt tracks to the Potomac (crossing by the Long Bridge).</t>
  </si>
  <si>
    <t xml:space="preserve">Washington &amp; Great Falls Electric Ry</t>
  </si>
  <si>
    <t xml:space="preserve">From a station on the block bounded by Prospect, 35th, M and 36th Sts; west along Prospect St to about 38th St; on private land across Foxhall Rd; then the bluff and aqueduct-land route to Cabin John Creek.</t>
  </si>
  <si>
    <t xml:space="preserve">June 3, 1896</t>
  </si>
  <si>
    <t xml:space="preserve">Loop at 37th St &amp; Prospect Ave, Georgetown.</t>
  </si>
  <si>
    <t xml:space="preserve">Route</t>
  </si>
  <si>
    <t xml:space="preserve">Termini</t>
  </si>
  <si>
    <t xml:space="preserve">Routing (1946 where known)</t>
  </si>
  <si>
    <t xml:space="preserve">Rosslyn – Kenilworth</t>
  </si>
  <si>
    <t xml:space="preserve">Rosslyn, Key Bridge, M St, Pennsylvania Ave, New York Ave, Mount Vernon Sq, H St, Benning Rd, Kenilworth Ave (1946)</t>
  </si>
  <si>
    <t xml:space="preserve">Kenilworth: May 1, 1949. Rosslyn: Aug 26, 1956 (Wikipedia/CRF) or Dec 24, 1948 (Tundria)</t>
  </si>
  <si>
    <t xml:space="preserve">WP-PennAve; CRF; TUN; MAP1942</t>
  </si>
  <si>
    <t xml:space="preserve">12</t>
  </si>
  <si>
    <t xml:space="preserve">New York Ave &amp; 15th – Seat Pleasant</t>
  </si>
  <si>
    <t xml:space="preserve">New York Ave, H St, Benning Rd, then East Capitol St (Tundria) or Deane Ave/Dix St (Berman) to Seat Pleasant</t>
  </si>
  <si>
    <t xml:space="preserve">CRF; TUN; MAP1942</t>
  </si>
  <si>
    <t xml:space="preserve">Cabin John – Union Station</t>
  </si>
  <si>
    <t xml:space="preserve">Cabin John, Glen Echo, Palisades, M St, Pennsylvania Ave, 1st St NW, Louisiana Ave (1946)</t>
  </si>
  <si>
    <t xml:space="preserve">Jan 3, 1960 (Louisiana Ave section Aug 28, 1949)</t>
  </si>
  <si>
    <t xml:space="preserve">WP-PennAve; CRF; TUN</t>
  </si>
  <si>
    <t xml:space="preserve">22</t>
  </si>
  <si>
    <t xml:space="preserve">Washington Circle</t>
  </si>
  <si>
    <t xml:space="preserve">Cabin John line short-turn (1936 map only)</t>
  </si>
  <si>
    <t xml:space="preserve">GDC</t>
  </si>
  <si>
    <t xml:space="preserve">Friendship Heights – Barney Circle / 17th &amp; K SE</t>
  </si>
  <si>
    <t xml:space="preserve">Wisconsin Ave, M St, Pennsylvania Ave, 7th St, Independence Ave, Pennsylvania Ave SE</t>
  </si>
  <si>
    <t xml:space="preserve">40</t>
  </si>
  <si>
    <t xml:space="preserve">Mount Pleasant (Park Rd) – Lincoln Park / 15th &amp; East Capitol</t>
  </si>
  <si>
    <t xml:space="preserve">Mount Pleasant St, Columbia Rd, Connecticut Ave, H St, 15th St, F St, 9th St, Pennsylvania Ave, C St NW, 1st St NE, East Capitol St</t>
  </si>
  <si>
    <t xml:space="preserve">Dec 3, 1961 (CRF). Wikipedia's Mount Pleasant Line article gives conflicting dates.</t>
  </si>
  <si>
    <t xml:space="preserve">CRF; TUN; MAP1942; MAP1958</t>
  </si>
  <si>
    <t xml:space="preserve">42</t>
  </si>
  <si>
    <t xml:space="preserve">Mount Pleasant (Park Rd) – 13th &amp; C/D NE</t>
  </si>
  <si>
    <t xml:space="preserve">Mount Pleasant St, Columbia Rd, Connecticut Ave, H St, 15th St, F St, 5th St, G St, Union Station, Massachusetts Ave, Maryland Ave/D St out, C St/6th St back</t>
  </si>
  <si>
    <t xml:space="preserve">44</t>
  </si>
  <si>
    <t xml:space="preserve">Connecticut Ave – Union Station</t>
  </si>
  <si>
    <t xml:space="preserve">Listed only on the 1936 map; not on the 1942, 1946 or 1958 maps</t>
  </si>
  <si>
    <t xml:space="preserve">Before 1942 (date not found)</t>
  </si>
  <si>
    <t xml:space="preserve">Decatur St / 14th St – Bureau of Engraving</t>
  </si>
  <si>
    <t xml:space="preserve">14th St; underground loop at 14th &amp; C SW (1942)</t>
  </si>
  <si>
    <t xml:space="preserve">WP-14th; CRF; TUN</t>
  </si>
  <si>
    <t xml:space="preserve">14th &amp; Colorado – 6th &amp; Pennsylvania Ave</t>
  </si>
  <si>
    <t xml:space="preserve">14th St, U St, 11th St, then 11th St/E St out and 9th St/F St back, 9th St, Pennsylvania Ave</t>
  </si>
  <si>
    <t xml:space="preserve">Discontinued before 1962 (Wikipedia); CRF lists Jan 28, 1962</t>
  </si>
  <si>
    <t xml:space="preserve">54</t>
  </si>
  <si>
    <t xml:space="preserve">14th &amp; Colorado – Navy Yard</t>
  </si>
  <si>
    <t xml:space="preserve">14th St, Pennsylvania Ave, 1st St NW, Independence Ave, Pennsylvania Ave SE, 8th St SE</t>
  </si>
  <si>
    <t xml:space="preserve">60</t>
  </si>
  <si>
    <t xml:space="preserve">11th &amp; Monroe – 6th &amp; Pennsylvania Ave</t>
  </si>
  <si>
    <t xml:space="preserve">11th St, U St, then the same downtown couplet as route 52</t>
  </si>
  <si>
    <t xml:space="preserve">62</t>
  </si>
  <si>
    <t xml:space="preserve">U &amp; 14th / 7th St Wharves</t>
  </si>
  <si>
    <t xml:space="preserve">11th St / U St (1936 map only)</t>
  </si>
  <si>
    <t xml:space="preserve">70</t>
  </si>
  <si>
    <t xml:space="preserve">Georgia &amp; Alaska Aves – 4th St &amp; Independence Ave (SW Mall)</t>
  </si>
  <si>
    <t xml:space="preserve">Georgia Ave, 7th St, Independence Ave out, C St/7th St back</t>
  </si>
  <si>
    <t xml:space="preserve">72</t>
  </si>
  <si>
    <t xml:space="preserve">Takoma – 7th St Wharves</t>
  </si>
  <si>
    <t xml:space="preserve">4th St NW, Butternut St, Georgia Ave, 7th St, Maine Ave</t>
  </si>
  <si>
    <t xml:space="preserve">CRF; TUN</t>
  </si>
  <si>
    <t xml:space="preserve">Soldiers' Home (Upshur St) – 7th St Wharves / Fort Humphreys</t>
  </si>
  <si>
    <t xml:space="preserve">Upshur St, Georgia Ave, 7th St, Maine Ave</t>
  </si>
  <si>
    <t xml:space="preserve">76</t>
  </si>
  <si>
    <t xml:space="preserve">7th &amp; Florida – Wharves</t>
  </si>
  <si>
    <t xml:space="preserve">7th St line (1936 map only)</t>
  </si>
  <si>
    <t xml:space="preserve">78</t>
  </si>
  <si>
    <t xml:space="preserve">Wharves</t>
  </si>
  <si>
    <t xml:space="preserve">Potomac Park (Virginia Ave) – Brookland (Monroe St NE)</t>
  </si>
  <si>
    <t xml:space="preserve">Out 18th St, back 19th St (West End loop), G St, Massachusetts Ave, North Capitol St, Michigan Ave, Monroe St NE. In 1936 the south end was Rosslyn (Wikipedia).</t>
  </si>
  <si>
    <t xml:space="preserve">82</t>
  </si>
  <si>
    <t xml:space="preserve">Potomac Park (Virginia Ave) – Branchville / Beltsville</t>
  </si>
  <si>
    <t xml:space="preserve">Out 18th St, back 19th St, G St, 5th St, New York Ave, Eckington, Rhode Island Ave, private right-of-way, College Park, Branchville (Beltsville in 1942)</t>
  </si>
  <si>
    <t xml:space="preserve">WP-PennAve; CRF; TUN; MAP1942; MAP1958</t>
  </si>
  <si>
    <t xml:space="preserve">84</t>
  </si>
  <si>
    <t xml:space="preserve">Branchville – Beltsville</t>
  </si>
  <si>
    <t xml:space="preserve">Maryland line extension</t>
  </si>
  <si>
    <t xml:space="preserve">July 31, 1949</t>
  </si>
  <si>
    <t xml:space="preserve">90</t>
  </si>
  <si>
    <t xml:space="preserve">National Zoo / Calvert St Bridge – Barney Circle</t>
  </si>
  <si>
    <t xml:space="preserve">Calvert St, 18th St (Tundria: 16th), U St, Florida Ave, New Jersey Ave, Massachusetts Ave, Union Station, 1st St, Pennsylvania Ave SE</t>
  </si>
  <si>
    <t xml:space="preserve">92</t>
  </si>
  <si>
    <t xml:space="preserve">National Zoo / Calvert St Bridge – Navy Yard</t>
  </si>
  <si>
    <t xml:space="preserve">Calvert St, 18th St, U St, Florida Ave, 8th St NE/SE</t>
  </si>
  <si>
    <t xml:space="preserve">WP-UStCH; CRF; TUN; MAP1942</t>
  </si>
  <si>
    <t xml:space="preserve">Streetcar lines and their bus conversion dates (chicagorailfan.com table, duplicates removed)</t>
  </si>
  <si>
    <t xml:space="preserve">Old route numbers: 1936 Capital Transit scheme. Numbers were grouped by tens clockwise from the west; letter codes are lines converted to buses before or around 1936. Blank year = source gives only a decade.</t>
  </si>
  <si>
    <t xml:space="preserve">Line (CRF name)</t>
  </si>
  <si>
    <t xml:space="preserve">Old route no.</t>
  </si>
  <si>
    <t xml:space="preserve">Pre-1933 operator</t>
  </si>
  <si>
    <t xml:space="preserve">Horse cars</t>
  </si>
  <si>
    <t xml:space="preserve">Cable cars</t>
  </si>
  <si>
    <t xml:space="preserve">Electric cars</t>
  </si>
  <si>
    <t xml:space="preserve">Converted to bus (M/D/YY)</t>
  </si>
  <si>
    <t xml:space="preserve">Year converted</t>
  </si>
  <si>
    <t xml:space="preserve">Successor bus route</t>
  </si>
  <si>
    <t xml:space="preserve">WMATA-era route no. (CRF key; parentheses = discontinued)</t>
  </si>
  <si>
    <t xml:space="preserve">Bladensburg</t>
  </si>
  <si>
    <t xml:space="preserve">B2</t>
  </si>
  <si>
    <t xml:space="preserve">Washington Railway &amp; Electric</t>
  </si>
  <si>
    <t xml:space="preserve">4/22/23</t>
  </si>
  <si>
    <t xml:space="preserve">Naylor Gardens</t>
  </si>
  <si>
    <t xml:space="preserve">C2</t>
  </si>
  <si>
    <t xml:space="preserve">12/1/23</t>
  </si>
  <si>
    <t xml:space="preserve">34</t>
  </si>
  <si>
    <t xml:space="preserve">Georgia Av.-Forest Glen</t>
  </si>
  <si>
    <t xml:space="preserve">Z2</t>
  </si>
  <si>
    <t xml:space="preserve">12/15/24</t>
  </si>
  <si>
    <t xml:space="preserve">Y8</t>
  </si>
  <si>
    <t xml:space="preserve">Massachusetts</t>
  </si>
  <si>
    <t xml:space="preserve">N2</t>
  </si>
  <si>
    <t xml:space="preserve">5/13/25</t>
  </si>
  <si>
    <t xml:space="preserve">N4</t>
  </si>
  <si>
    <t xml:space="preserve">Takoma-Old Bladensburg</t>
  </si>
  <si>
    <t xml:space="preserve">T2</t>
  </si>
  <si>
    <t xml:space="preserve">Ride-On</t>
  </si>
  <si>
    <t xml:space="preserve">(T2)</t>
  </si>
  <si>
    <t xml:space="preserve">Anacostia-Congress Hts.</t>
  </si>
  <si>
    <t xml:space="preserve">A2</t>
  </si>
  <si>
    <t xml:space="preserve">6/16/35</t>
  </si>
  <si>
    <t xml:space="preserve">Connecticut-18th St.</t>
  </si>
  <si>
    <t xml:space="preserve">L2</t>
  </si>
  <si>
    <t xml:space="preserve">9/16/35</t>
  </si>
  <si>
    <t xml:space="preserve">Connecticut-Garrett Pk.</t>
  </si>
  <si>
    <t xml:space="preserve">L6</t>
  </si>
  <si>
    <t xml:space="preserve">(L6)</t>
  </si>
  <si>
    <t xml:space="preserve">LeDroit Park</t>
  </si>
  <si>
    <t xml:space="preserve">G2</t>
  </si>
  <si>
    <t xml:space="preserve">1/7/35</t>
  </si>
  <si>
    <t xml:space="preserve">P St.</t>
  </si>
  <si>
    <t xml:space="preserve">Wisconsin-Naval Hosp.</t>
  </si>
  <si>
    <t xml:space="preserve">T6</t>
  </si>
  <si>
    <t xml:space="preserve">8/4/35</t>
  </si>
  <si>
    <t xml:space="preserve">(T6)</t>
  </si>
  <si>
    <t xml:space="preserve">14th St.-Takoma</t>
  </si>
  <si>
    <t xml:space="preserve">4/?/36</t>
  </si>
  <si>
    <t xml:space="preserve">K8</t>
  </si>
  <si>
    <t xml:space="preserve">(58)</t>
  </si>
  <si>
    <t xml:space="preserve">3rd St.-Takoma</t>
  </si>
  <si>
    <t xml:space="preserve">J2</t>
  </si>
  <si>
    <t xml:space="preserve">Disc.</t>
  </si>
  <si>
    <t xml:space="preserve">(K8)</t>
  </si>
  <si>
    <t xml:space="preserve">Kennedy St.</t>
  </si>
  <si>
    <t xml:space="preserve">(J2)</t>
  </si>
  <si>
    <t xml:space="preserve">Benning Rd.</t>
  </si>
  <si>
    <t xml:space="preserve">5/1/49</t>
  </si>
  <si>
    <t xml:space="preserve">X2</t>
  </si>
  <si>
    <t xml:space="preserve">(10)</t>
  </si>
  <si>
    <t xml:space="preserve">Benning-Benning Heights</t>
  </si>
  <si>
    <t xml:space="preserve">U8</t>
  </si>
  <si>
    <t xml:space="preserve">(X4)</t>
  </si>
  <si>
    <t xml:space="preserve">Branchville-Beltsville</t>
  </si>
  <si>
    <t xml:space="preserve">7/31/49</t>
  </si>
  <si>
    <t xml:space="preserve">(84)</t>
  </si>
  <si>
    <t xml:space="preserve">Capitol Hts.-Anacostia</t>
  </si>
  <si>
    <t xml:space="preserve">V2</t>
  </si>
  <si>
    <t xml:space="preserve">Capitol Hts.-Navy Yard</t>
  </si>
  <si>
    <t xml:space="preserve">V4</t>
  </si>
  <si>
    <t xml:space="preserve">H St.</t>
  </si>
  <si>
    <t xml:space="preserve">Kenilworth</t>
  </si>
  <si>
    <t xml:space="preserve">V8</t>
  </si>
  <si>
    <t xml:space="preserve">Seat Pleasant</t>
  </si>
  <si>
    <t xml:space="preserve">(12)</t>
  </si>
  <si>
    <t xml:space="preserve">Ballston</t>
  </si>
  <si>
    <t xml:space="preserve">8/26/56</t>
  </si>
  <si>
    <t xml:space="preserve">38</t>
  </si>
  <si>
    <t xml:space="preserve">Rosslyn</t>
  </si>
  <si>
    <t xml:space="preserve">College Park</t>
  </si>
  <si>
    <t xml:space="preserve">9/7/58</t>
  </si>
  <si>
    <t xml:space="preserve">North Capitol St.</t>
  </si>
  <si>
    <t xml:space="preserve">R St.-Rhode Island</t>
  </si>
  <si>
    <t xml:space="preserve">P6</t>
  </si>
  <si>
    <t xml:space="preserve">7th St.</t>
  </si>
  <si>
    <t xml:space="preserve">1/3/60</t>
  </si>
  <si>
    <t xml:space="preserve">Cabin John</t>
  </si>
  <si>
    <t xml:space="preserve">(20)</t>
  </si>
  <si>
    <t xml:space="preserve">Georgia Av.</t>
  </si>
  <si>
    <t xml:space="preserve">Georgia Av.-Takoma</t>
  </si>
  <si>
    <t xml:space="preserve">52/54</t>
  </si>
  <si>
    <t xml:space="preserve">(72)</t>
  </si>
  <si>
    <t xml:space="preserve">Pennsylvania</t>
  </si>
  <si>
    <t xml:space="preserve">Soldiers Home</t>
  </si>
  <si>
    <t xml:space="preserve">(74)</t>
  </si>
  <si>
    <t xml:space="preserve">Upshur</t>
  </si>
  <si>
    <t xml:space="preserve">Wisconsin</t>
  </si>
  <si>
    <t xml:space="preserve">31</t>
  </si>
  <si>
    <t xml:space="preserve">11th St.</t>
  </si>
  <si>
    <t xml:space="preserve">12/3/61</t>
  </si>
  <si>
    <t xml:space="preserve">66</t>
  </si>
  <si>
    <t xml:space="preserve">(60)</t>
  </si>
  <si>
    <t xml:space="preserve">Connecticut (south)</t>
  </si>
  <si>
    <t xml:space="preserve">F St./D St.</t>
  </si>
  <si>
    <t xml:space="preserve">D6</t>
  </si>
  <si>
    <t xml:space="preserve">(42)</t>
  </si>
  <si>
    <t xml:space="preserve">Mt. Pleasant</t>
  </si>
  <si>
    <t xml:space="preserve">14th St.</t>
  </si>
  <si>
    <t xml:space="preserve">1/28/62</t>
  </si>
  <si>
    <t xml:space="preserve">Consol.</t>
  </si>
  <si>
    <t xml:space="preserve">(50)</t>
  </si>
  <si>
    <t xml:space="preserve">14th St.-Pennsylvania</t>
  </si>
  <si>
    <t xml:space="preserve">14th St.-U St.-11th St.</t>
  </si>
  <si>
    <t xml:space="preserve">(52)</t>
  </si>
  <si>
    <t xml:space="preserve">East Capitol St.</t>
  </si>
  <si>
    <t xml:space="preserve">96</t>
  </si>
  <si>
    <t xml:space="preserve">(40)</t>
  </si>
  <si>
    <t xml:space="preserve">Florida Av./8th St.</t>
  </si>
  <si>
    <t xml:space="preserve">New Jersey Av.</t>
  </si>
  <si>
    <t xml:space="preserve">(90)</t>
  </si>
  <si>
    <t xml:space="preserve">U St.</t>
  </si>
  <si>
    <t xml:space="preserve">4th St.</t>
  </si>
  <si>
    <t xml:space="preserve">1930's</t>
  </si>
  <si>
    <t xml:space="preserve">M2</t>
  </si>
  <si>
    <t xml:space="preserve">(V2)</t>
  </si>
  <si>
    <t xml:space="preserve">Capitol Hill-4th St.</t>
  </si>
  <si>
    <t xml:space="preserve">(M2)</t>
  </si>
  <si>
    <t xml:space="preserve">NE 4th St.</t>
  </si>
  <si>
    <t xml:space="preserve">F4</t>
  </si>
  <si>
    <t xml:space="preserve">1920's</t>
  </si>
  <si>
    <t xml:space="preserve">G8</t>
  </si>
  <si>
    <t xml:space="preserve">(F4)</t>
  </si>
  <si>
    <t xml:space="preserve">Chartered / incorporated</t>
  </si>
  <si>
    <t xml:space="preserve">Service began</t>
  </si>
  <si>
    <t xml:space="preserve">Ended / absorbed</t>
  </si>
  <si>
    <t xml:space="preserve">Successor</t>
  </si>
  <si>
    <t xml:space="preserve">Motive power</t>
  </si>
  <si>
    <t xml:space="preserve">Sept 21, 1895</t>
  </si>
  <si>
    <t xml:space="preserve">Horse / cable</t>
  </si>
  <si>
    <t xml:space="preserve">DC's first streetcar company. Lines: Pennsylvania Ave, 7th St, 14th St.</t>
  </si>
  <si>
    <t xml:space="preserve">1864–65</t>
  </si>
  <si>
    <t xml:space="preserve">WRECo (via Washington Traction &amp; Electric)</t>
  </si>
  <si>
    <t xml:space="preserve">Horse / battery / electric</t>
  </si>
  <si>
    <t xml:space="preserve">Lines: F/D St, 9th St, P St–Georgetown, 4th St, East Capitol, Connecticut Ave, Georgia Ave.</t>
  </si>
  <si>
    <t xml:space="preserve">Connecticut Avenue &amp; Park Railway</t>
  </si>
  <si>
    <t xml:space="preserve">April 1873</t>
  </si>
  <si>
    <t xml:space="preserve">Metropolitan</t>
  </si>
  <si>
    <t xml:space="preserve">Horse</t>
  </si>
  <si>
    <t xml:space="preserve">Connecticut Ave, 17th St &amp; New York Ave to Florida Ave.</t>
  </si>
  <si>
    <t xml:space="preserve">Horse / cable / electric</t>
  </si>
  <si>
    <t xml:space="preserve">H St NW/NE; Benning Rd branches (1898–1900).</t>
  </si>
  <si>
    <t xml:space="preserve">Union Railroad</t>
  </si>
  <si>
    <t xml:space="preserve">Charter only</t>
  </si>
  <si>
    <t xml:space="preserve">Charter used for the Metropolitan's Georgetown/P St line.</t>
  </si>
  <si>
    <t xml:space="preserve">Boundary &amp; Silver Spring Railway</t>
  </si>
  <si>
    <t xml:space="preserve">Dec 1872 (bought)</t>
  </si>
  <si>
    <t xml:space="preserve">Georgia Ave charter.</t>
  </si>
  <si>
    <t xml:space="preserve">1870/1872</t>
  </si>
  <si>
    <t xml:space="preserve">Horse / electric</t>
  </si>
  <si>
    <t xml:space="preserve">First line across the Anacostia; absorbed Belt (1898) and Capital Ry (1899).</t>
  </si>
  <si>
    <t xml:space="preserve">Capitol, North O Street &amp; South Washington Ry (Belt Railway)</t>
  </si>
  <si>
    <t xml:space="preserve">Horse / compressed air / electric</t>
  </si>
  <si>
    <t xml:space="preserve">Downtown belt loop.</t>
  </si>
  <si>
    <t xml:space="preserve">1898 (renamed)</t>
  </si>
  <si>
    <t xml:space="preserve">City &amp; Suburban Railway</t>
  </si>
  <si>
    <t xml:space="preserve">Electric (DC's first)</t>
  </si>
  <si>
    <t xml:space="preserve">Tied to the Chevy Chase Land Co.</t>
  </si>
  <si>
    <t xml:space="preserve">1926 (fully absorbed)</t>
  </si>
  <si>
    <t xml:space="preserve">Pneumatic / horse / electric</t>
  </si>
  <si>
    <t xml:space="preserve">Glen Echo Railroad / Washington &amp; Glen Echo RR</t>
  </si>
  <si>
    <t xml:space="preserve">June 1891</t>
  </si>
  <si>
    <t xml:space="preserve">Washington &amp; Great Falls (part)</t>
  </si>
  <si>
    <t xml:space="preserve">Tennallytown &amp; Rockville Railroad</t>
  </si>
  <si>
    <t xml:space="preserve">Friendship Heights–Bethesda.</t>
  </si>
  <si>
    <t xml:space="preserve">Columbia &amp; Maryland Ry / Berwyn &amp; Laurel / Washington, Berwyn &amp; Laurel</t>
  </si>
  <si>
    <t xml:space="preserve">1892/1896</t>
  </si>
  <si>
    <t xml:space="preserve">c.1899–1902</t>
  </si>
  <si>
    <t xml:space="preserve">WRECo / City &amp; Suburban</t>
  </si>
  <si>
    <t xml:space="preserve">Reached Laurel in 1902.</t>
  </si>
  <si>
    <t xml:space="preserve">Maryland &amp; Washington Railway</t>
  </si>
  <si>
    <t xml:space="preserve">Aug 1, 1892 (Congress)</t>
  </si>
  <si>
    <t xml:space="preserve">City &amp; Suburban</t>
  </si>
  <si>
    <t xml:space="preserve">Rhode Island Ave to Mount Rainier.</t>
  </si>
  <si>
    <t xml:space="preserve">WP; WPMD</t>
  </si>
  <si>
    <t xml:space="preserve">July 28, 1892</t>
  </si>
  <si>
    <t xml:space="preserve">1902 (renamed)</t>
  </si>
  <si>
    <t xml:space="preserve">Cabin John line; bought Washington Traction's holdings and became WRECo.</t>
  </si>
  <si>
    <t xml:space="preserve">Feb 1891/1892</t>
  </si>
  <si>
    <t xml:space="preserve">Oct 1892</t>
  </si>
  <si>
    <t xml:space="preserve">Fort Myer, Fairfax and Arlington lines.</t>
  </si>
  <si>
    <t xml:space="preserve">1890 (as Alexandria &amp; Fairfax)</t>
  </si>
  <si>
    <t xml:space="preserve">Entered DC over the Long Bridge (1896).</t>
  </si>
  <si>
    <t xml:space="preserve">Baltimore &amp; Washington Transit Co. ('Dinky Line')</t>
  </si>
  <si>
    <t xml:space="preserve">1894/Apr 7, 1896</t>
  </si>
  <si>
    <t xml:space="preserve">Washington &amp; Maryland Ry → Capital Traction</t>
  </si>
  <si>
    <t xml:space="preserve">Electric / gasoline / battery</t>
  </si>
  <si>
    <t xml:space="preserve">WP; WPMD; MPD</t>
  </si>
  <si>
    <t xml:space="preserve">Capital Railway</t>
  </si>
  <si>
    <t xml:space="preserve">Magnetic contact / electric</t>
  </si>
  <si>
    <t xml:space="preserve">Congress Heights.</t>
  </si>
  <si>
    <t xml:space="preserve">Capital Traction Company</t>
  </si>
  <si>
    <t xml:space="preserve">Mar 1, 1895 (authorized)</t>
  </si>
  <si>
    <t xml:space="preserve">Dec 1, 1933</t>
  </si>
  <si>
    <t xml:space="preserve">Cable / electric</t>
  </si>
  <si>
    <t xml:space="preserve">Merger of Rock Creek and W&amp;G. 53.70 miles of single track in DC in 1912.</t>
  </si>
  <si>
    <t xml:space="preserve">Chevy Chase Lake &amp; Kensington Ry / Kensington Railway</t>
  </si>
  <si>
    <t xml:space="preserve">May 30, 1895</t>
  </si>
  <si>
    <t xml:space="preserve">Leased by Capital Traction 1923–33.</t>
  </si>
  <si>
    <t xml:space="preserve">July 26, 1895</t>
  </si>
  <si>
    <t xml:space="preserve">Nov 25, 1897</t>
  </si>
  <si>
    <t xml:space="preserve">1924 (bus)</t>
  </si>
  <si>
    <t xml:space="preserve">Washington &amp; Rockville Railway</t>
  </si>
  <si>
    <t xml:space="preserve">1935 (bus)</t>
  </si>
  <si>
    <t xml:space="preserve">City &amp; Suburban Railway of Washington</t>
  </si>
  <si>
    <t xml:space="preserve">Former Eckington &amp; Soldiers' Home.</t>
  </si>
  <si>
    <t xml:space="preserve">by 1903</t>
  </si>
  <si>
    <t xml:space="preserve">Dec 1, 1923 (bus)</t>
  </si>
  <si>
    <t xml:space="preserve">Washington Traction &amp; Electric Company</t>
  </si>
  <si>
    <t xml:space="preserve">June 5, 1899</t>
  </si>
  <si>
    <t xml:space="preserve">1901–02 (foreclosure)</t>
  </si>
  <si>
    <t xml:space="preserve">Holding company</t>
  </si>
  <si>
    <t xml:space="preserve">Held most non-Capital Traction lines plus Potomac Electric.</t>
  </si>
  <si>
    <t xml:space="preserve">Jan 24, 1900</t>
  </si>
  <si>
    <t xml:space="preserve">Entered DC 1903</t>
  </si>
  <si>
    <t xml:space="preserve">1912 (renamed)</t>
  </si>
  <si>
    <t xml:space="preserve">Washington &amp; Old Dominion Railway</t>
  </si>
  <si>
    <t xml:space="preserve">Washington Railway &amp; Electric Company (WRECo)</t>
  </si>
  <si>
    <t xml:space="preserve">1902 (from W&amp;GF)</t>
  </si>
  <si>
    <t xml:space="preserve">The larger of the two big companies; also owned PEPCO. 108.95 miles of single track in DC in 1912.</t>
  </si>
  <si>
    <t xml:space="preserve">Washington, Spa Spring &amp; Gretta RR / Washington Interurban</t>
  </si>
  <si>
    <t xml:space="preserve">Feb 13, 1905 (MD)</t>
  </si>
  <si>
    <t xml:space="preserve">1921–25 (bus)</t>
  </si>
  <si>
    <t xml:space="preserve">Electric / battery</t>
  </si>
  <si>
    <t xml:space="preserve">1927 (split at auction)</t>
  </si>
  <si>
    <t xml:space="preserve">Arlington &amp; Fairfax; A&amp;S</t>
  </si>
  <si>
    <t xml:space="preserve">May 29, 1912</t>
  </si>
  <si>
    <t xml:space="preserve">Arlington &amp; Fairfax Railway</t>
  </si>
  <si>
    <t xml:space="preserve">DC service ended Jan 17, 1932</t>
  </si>
  <si>
    <t xml:space="preserve">A&amp;F Motor Transportation</t>
  </si>
  <si>
    <t xml:space="preserve">Capital Transit Company</t>
  </si>
  <si>
    <t xml:space="preserve">Aug 14/15, 1956 (franchise revoked)</t>
  </si>
  <si>
    <t xml:space="preserve">D.C. Transit System</t>
  </si>
  <si>
    <t xml:space="preserve">Electric / bus</t>
  </si>
  <si>
    <t xml:space="preserve">Introduced numbered routes in 1936.</t>
  </si>
  <si>
    <t xml:space="preserve">D.C. Transit System, Inc.</t>
  </si>
  <si>
    <t xml:space="preserve">July 24, 1956 (franchise)</t>
  </si>
  <si>
    <t xml:space="preserve">Jan 28, 1962 (last streetcar)</t>
  </si>
  <si>
    <t xml:space="preserve">WMATA (buses, 1973)</t>
  </si>
  <si>
    <t xml:space="preserve">Required to go all-bus.</t>
  </si>
  <si>
    <t xml:space="preserve">Map</t>
  </si>
  <si>
    <t xml:space="preserve">Holder / publisher</t>
  </si>
  <si>
    <t xml:space="preserve">URL</t>
  </si>
  <si>
    <t xml:space="preserve">Access</t>
  </si>
  <si>
    <t xml:space="preserve">Horse-streetcar trackage (statistical map)</t>
  </si>
  <si>
    <t xml:space="preserve">Restored print from LOC statistical map series</t>
  </si>
  <si>
    <t xml:space="preserve">https://transitmap.net/store/product/1880-washington-dc/</t>
  </si>
  <si>
    <t xml:space="preserve">Print for sale</t>
  </si>
  <si>
    <t xml:space="preserve">City of Washington statistical maps: Map No. 10, Street Railways (original of the 1880 print)</t>
  </si>
  <si>
    <t xml:space="preserve">Library of Congress</t>
  </si>
  <si>
    <t xml:space="preserve">https://www.loc.gov/resource/g3851fm.gct00015/?sp=11</t>
  </si>
  <si>
    <t xml:space="preserve">LOC scan, free to reuse</t>
  </si>
  <si>
    <t xml:space="preserve">Map of the City of Washington showing the location of the Street Railways (modern redraw of the 1880 statistical map, Jake Berman, 2019)</t>
  </si>
  <si>
    <t xml:space="preserve">Jake Berman</t>
  </si>
  <si>
    <t xml:space="preserve">https://53studio.com/</t>
  </si>
  <si>
    <t xml:space="preserve">Modern schematic</t>
  </si>
  <si>
    <t xml:space="preserve">DC Streetcar Network (1888)</t>
  </si>
  <si>
    <t xml:space="preserve">ArcGIS StoryMap 'How We Got Here'</t>
  </si>
  <si>
    <t xml:space="preserve">https://storymaps.arcgis.com/stories/d421c20521214832ac661b11a9ec3958</t>
  </si>
  <si>
    <t xml:space="preserve">Online</t>
  </si>
  <si>
    <t xml:space="preserve">1890–1962</t>
  </si>
  <si>
    <t xml:space="preserve">All regional electric railway lines (composite)</t>
  </si>
  <si>
    <t xml:space="preserve">Greater Greater Washington / Wikimedia</t>
  </si>
  <si>
    <t xml:space="preserve">https://ggwash.org/view/29893/see-all-historic-dc-area-trolley-routes-on-one-map</t>
  </si>
  <si>
    <t xml:space="preserve">Street Railways, City of Washington</t>
  </si>
  <si>
    <t xml:space="preserve">transitmap.net</t>
  </si>
  <si>
    <t xml:space="preserve">https://transitmap.net/dc-streetcars-1891/</t>
  </si>
  <si>
    <t xml:space="preserve">Online image</t>
  </si>
  <si>
    <t xml:space="preserve">Statistical map no. 10 showing the location of street railways (Engineer Dept. annual report maps)</t>
  </si>
  <si>
    <t xml:space="preserve">Library of Congress / Wikimedia Commons</t>
  </si>
  <si>
    <t xml:space="preserve">https://www.loc.gov/item/90685664/</t>
  </si>
  <si>
    <t xml:space="preserve">LOC scan, free to reuse (sheet 10)</t>
  </si>
  <si>
    <t xml:space="preserve">Statistical map no. 10 showing the location of street railways</t>
  </si>
  <si>
    <t xml:space="preserve">https://www.loc.gov/item/87693024</t>
  </si>
  <si>
    <t xml:space="preserve">Map of Washington, D.C., and suburbs, showing the latest streets and all the new railway and street-car routes (F.L. Averill)</t>
  </si>
  <si>
    <t xml:space="preserve">https://commons.wikimedia.org/wiki/File:Map_of_Washington,_D.C.,_and_suburbs_-_showing_the_latest_streets_and_all_the_new_railway_and_street-car_routes_LOC_88693395.jpg</t>
  </si>
  <si>
    <t xml:space="preserve">Public domain scan</t>
  </si>
  <si>
    <t xml:space="preserve">Rand, McNally &amp; Co.'s indexed atlas of the world: map of Washington, D.C. (business atlas map)</t>
  </si>
  <si>
    <t xml:space="preserve">Boston Public Library, Leventhal Map Center</t>
  </si>
  <si>
    <t xml:space="preserve">https://collections.leventhalmap.org/search/commonwealth:4m90f386r</t>
  </si>
  <si>
    <t xml:space="preserve">Free scan, no known restrictions</t>
  </si>
  <si>
    <t xml:space="preserve">Rand, McNally &amp; Co. map of Washington, D.C. — georeferenced GeoTIFF (Maryland State Plane, NAD83)</t>
  </si>
  <si>
    <t xml:space="preserve">Harvard Map Collection (via NYU / MIT GeoData)</t>
  </si>
  <si>
    <t xml:space="preserve">https://geo.nyu.edu/catalog/harvard-g3850-1895-r3</t>
  </si>
  <si>
    <t xml:space="preserve">Public GeoTIFF, already georeferenced</t>
  </si>
  <si>
    <t xml:space="preserve">Map of the city of Washington showing street railway lines (Eckert Litho, c.1900)</t>
  </si>
  <si>
    <t xml:space="preserve">https://www.loc.gov/item/87695722/</t>
  </si>
  <si>
    <t xml:space="preserve">Map of streetcar lines in Anacostia and surrounding districts</t>
  </si>
  <si>
    <t xml:space="preserve">https://www.loc.gov/item/91683221</t>
  </si>
  <si>
    <t xml:space="preserve">Rand McNally, Washington D.C. ('Electric Lines' in red)</t>
  </si>
  <si>
    <t xml:space="preserve">Library of Congress, call no. G3850 1910 .R3</t>
  </si>
  <si>
    <t xml:space="preserve">https://www.loc.gov/item/87691460/</t>
  </si>
  <si>
    <t xml:space="preserve">Link inferred from the number stamped on the scan; unverified</t>
  </si>
  <si>
    <t xml:space="preserve">Street railways of the District of Columbia with proposed extensions</t>
  </si>
  <si>
    <t xml:space="preserve">https://www.loc.gov/item/87695724</t>
  </si>
  <si>
    <t xml:space="preserve">LOC scan, 2 sheets</t>
  </si>
  <si>
    <t xml:space="preserve">Senate Doc. 62-441, Enclosure 1: street railways of the District colored by company (22,483 x 18,622 px scan)</t>
  </si>
  <si>
    <t xml:space="preserve">GovInfo (Serial Set)</t>
  </si>
  <si>
    <t xml:space="preserve">https://www.govinfo.gov/app/details/SERIALSET-06181_00_00-076-0441-0000</t>
  </si>
  <si>
    <t xml:space="preserve">Free PDF; Enclosure 1 is a 22,483 x 18,622 px color scan, colored by company</t>
  </si>
  <si>
    <t xml:space="preserve">PUC report (Senate Doc. 65-197): map of population density with street railway lines (police census Nov 1917), plus maps of downtown car stops</t>
  </si>
  <si>
    <t xml:space="preserve">https://www.govinfo.gov/app/details/SERIALSET-07323_00_00-002-0197-0000</t>
  </si>
  <si>
    <t xml:space="preserve">Free PDF; foldout near p. 110</t>
  </si>
  <si>
    <t xml:space="preserve">The Rand McNally new commercial atlas map of Washington, D.C.</t>
  </si>
  <si>
    <t xml:space="preserve">University of Minnesota (UMedia / BTAA Geoportal)</t>
  </si>
  <si>
    <t xml:space="preserve">https://umedia.lib.umn.edu/item/p16022coll230:1489</t>
  </si>
  <si>
    <t xml:space="preserve">Online scan</t>
  </si>
  <si>
    <t xml:space="preserve">Rand McNally standard map of Washington D.C. ('Street Car Lines' in red), Commercial Atlas of America pp. 176–177</t>
  </si>
  <si>
    <t xml:space="preserve">David Rumsey Map Collection</t>
  </si>
  <si>
    <t xml:space="preserve">https://www.davidrumsey.com/</t>
  </si>
  <si>
    <t xml:space="preserve">Online scan (search 'Commercial Atlas of America 1924 Washington')</t>
  </si>
  <si>
    <t xml:space="preserve">Rand McNally standard map of Washington D.C. (vest pocket edition, '11R24')</t>
  </si>
  <si>
    <t xml:space="preserve">https://collections.leventhalmap.org/search/commonwealth:r494z3573</t>
  </si>
  <si>
    <t xml:space="preserve">Numbered Routes of Street Cars (central DC)</t>
  </si>
  <si>
    <t xml:space="preserve">https://transitmap.net/dc-streetcars-1936/</t>
  </si>
  <si>
    <t xml:space="preserve">Capital Transit route schematic</t>
  </si>
  <si>
    <t xml:space="preserve">Ghosts of DC</t>
  </si>
  <si>
    <t xml:space="preserve">https://ghostsofdc.org/2013/01/29/new-1936-streetcar-map/</t>
  </si>
  <si>
    <t xml:space="preserve">Capital Transit guide map, effective June 1, 1940</t>
  </si>
  <si>
    <t xml:space="preserve">https://www.loc.gov/maps/?fa=contributor%3Acapital+transit+company%7Clocation%3Awashington+d.c.&amp;all=true</t>
  </si>
  <si>
    <t xml:space="preserve">Catalog record only</t>
  </si>
  <si>
    <t xml:space="preserve">Capital Transit system map</t>
  </si>
  <si>
    <t xml:space="preserve">WardMaps</t>
  </si>
  <si>
    <t xml:space="preserve">https://wardmaps.com/products/capital-transit-washington-d-c-system-map-1940</t>
  </si>
  <si>
    <t xml:space="preserve">For sale</t>
  </si>
  <si>
    <t xml:space="preserve">Capital Transit guide map, June 1, 1942</t>
  </si>
  <si>
    <t xml:space="preserve">DDOT Library (Tumblr)</t>
  </si>
  <si>
    <t xml:space="preserve">https://ddotdc.tumblr.com/post/179456618744/a-map-showing-the-streetcar-routes-in-downtown</t>
  </si>
  <si>
    <t xml:space="preserve">Streetcar system map, June 1942 (modern recreation by Jake Berman)</t>
  </si>
  <si>
    <t xml:space="preserve">53 Studio</t>
  </si>
  <si>
    <t xml:space="preserve">https://53studio.com/products/washington-dc-streetcar-system-map-june-1942</t>
  </si>
  <si>
    <t xml:space="preserve">Capital Transit guide map, Oct 1, 1943</t>
  </si>
  <si>
    <t xml:space="preserve">Guide map, Capital Transit street car and bus lines, April 1, 1943</t>
  </si>
  <si>
    <t xml:space="preserve">https://www.loc.gov/maps/?all=true&amp;fa=contributor%3Acapital+transit+company%7Csubject%3Alocal+transit%7Clocation%3Awashington+d.c.</t>
  </si>
  <si>
    <t xml:space="preserve">Downtown streetcar routes</t>
  </si>
  <si>
    <t xml:space="preserve">Streetcars and proposed subway lines (Jake Berman)</t>
  </si>
  <si>
    <t xml:space="preserve">Greater Greater Washington</t>
  </si>
  <si>
    <t xml:space="preserve">https://ggwash.org/view/70853/check-out-this-streetcar-and-subway-map-of-washington-dc-1944</t>
  </si>
  <si>
    <t xml:space="preserve">Guide map, Capital Transit street car and bus lines, March 1, 1944</t>
  </si>
  <si>
    <t xml:space="preserve">Guide map, Capital Transit street car and bus lines, January 1, 1946 (with owl-service and suburban maps)</t>
  </si>
  <si>
    <t xml:space="preserve">Streetcar network diagram, 1946 (modern schematic)</t>
  </si>
  <si>
    <t xml:space="preserve">Tundria</t>
  </si>
  <si>
    <t xml:space="preserve">http://www.tundria.com/trams/USA/Washington-1946.php</t>
  </si>
  <si>
    <t xml:space="preserve">Guide map. Capital Transit. Street car and bus lines. Washington (2 sheets, ~1:21,000)</t>
  </si>
  <si>
    <t xml:space="preserve">Bibliothèque nationale de France (Gallica) / Wikimedia Commons</t>
  </si>
  <si>
    <t xml:space="preserve">https://commons.wikimedia.org/wiki/File:Guide_map._Capital_transit._Street_car_and_bus_lines._Washington._5.000_feet_-_btv1b531895914_(1_of_2).jpg</t>
  </si>
  <si>
    <t xml:space="preserve">Public domain; 10,378 x 7,444 px scan</t>
  </si>
  <si>
    <t xml:space="preserve">D.C. Transit trackage, August 1958 (Charles Wagner)</t>
  </si>
  <si>
    <t xml:space="preserve">https://transitmap.net/washington-dc-trackage-1958/</t>
  </si>
  <si>
    <t xml:space="preserve">D.C. Transit System guide, street cars and bus lines (fold-out)</t>
  </si>
  <si>
    <t xml:space="preserve">eBay listing</t>
  </si>
  <si>
    <t xml:space="preserve">https://www.ebay.de/itm/146827621144</t>
  </si>
  <si>
    <t xml:space="preserve">c.1880</t>
  </si>
  <si>
    <t xml:space="preserve">'Early Street Railways' (modern GIS map on a present-day basemap)</t>
  </si>
  <si>
    <t xml:space="preserve">Source not identified</t>
  </si>
  <si>
    <t xml:space="preserve">Unknown; possible vector source</t>
  </si>
  <si>
    <t xml:space="preserve">Type</t>
  </si>
  <si>
    <t xml:space="preserve">Topic</t>
  </si>
  <si>
    <t xml:space="preserve">Detail</t>
  </si>
  <si>
    <t xml:space="preserve">Conflict</t>
  </si>
  <si>
    <t xml:space="preserve">7th St cable start</t>
  </si>
  <si>
    <t xml:space="preserve">Apr 12, 1890 (Wikipedia W&amp;G) vs May 12, 1890 (NRHP).</t>
  </si>
  <si>
    <t xml:space="preserve">14th St opening</t>
  </si>
  <si>
    <t xml:space="preserve">Nov 15, 1862 (Wikipedia 14th St Line, NRHP) vs 'built by 1870' (Wikipedia W&amp;G).</t>
  </si>
  <si>
    <t xml:space="preserve">Rock Creek suburban opening</t>
  </si>
  <si>
    <t xml:space="preserve">Sept 16, 1892 (Wikipedia Rock Creek) vs Sept 18, 1892 (NRHP).</t>
  </si>
  <si>
    <t xml:space="preserve">Glen Echo RR opening</t>
  </si>
  <si>
    <t xml:space="preserve">June 17, 1891 (Wikipedia MD article) vs July 10, 1891 (Georgetown-to-Rockville article).</t>
  </si>
  <si>
    <t xml:space="preserve">Union Station service</t>
  </si>
  <si>
    <t xml:space="preserve">June 24, 1908 (Wikipedia Capital Traction) vs Dec 6, 1908 (NRHP).</t>
  </si>
  <si>
    <t xml:space="preserve">Florida Ave/8th St builder</t>
  </si>
  <si>
    <t xml:space="preserve">Capital Traction (Tindall; Wikipedia Capital Traction article) vs WRECo (Wikipedia main article). Sheet uses Capital Traction.</t>
  </si>
  <si>
    <t xml:space="preserve">Washington &amp; Maryland takeover</t>
  </si>
  <si>
    <t xml:space="preserve">Owned by Capital Traction 1916 (Wikipedia main) vs leased May 2, 1918 (Wikipedia B&amp;W article, NRHP).</t>
  </si>
  <si>
    <t xml:space="preserve">A&amp;PR incorporation</t>
  </si>
  <si>
    <t xml:space="preserve">May 5, 1870 (Wikipedia) vs May 19, 1872 under the 1870 general law (Tindall).</t>
  </si>
  <si>
    <t xml:space="preserve">Falls car barn demolition</t>
  </si>
  <si>
    <t xml:space="preserve">1946 (Wikipedia WRECo) vs 1949 (NRHP).</t>
  </si>
  <si>
    <t xml:space="preserve">9th St conversion</t>
  </si>
  <si>
    <t xml:space="preserve">1933 (NRHP) vs 1936 (Ghosts of DC).</t>
  </si>
  <si>
    <t xml:space="preserve">Anacostia–Congress Heights</t>
  </si>
  <si>
    <t xml:space="preserve">June 16, 1935 (CRF bus date) vs July 16, 1935 last car (Wikipedia).</t>
  </si>
  <si>
    <t xml:space="preserve">North Capitol / Rhode Island Ave</t>
  </si>
  <si>
    <t xml:space="preserve">Sept 7, 1958 (CRF, Wikipedia Pennsylvania Ave article) vs 1959 (Wikipedia main).</t>
  </si>
  <si>
    <t xml:space="preserve">Correction</t>
  </si>
  <si>
    <t xml:space="preserve">Previously listed as 1896. Authorized Feb 27, 1897; service began June 6, 1900.</t>
  </si>
  <si>
    <t xml:space="preserve">Great Falls &amp; Old Dominion</t>
  </si>
  <si>
    <t xml:space="preserve">Previously listed as opening 1903 (the authorization date). Service from Georgetown began 1906.</t>
  </si>
  <si>
    <t xml:space="preserve">Unreliable</t>
  </si>
  <si>
    <t xml:space="preserve">Wikipedia Metrobus line articles</t>
  </si>
  <si>
    <t xml:space="preserve">Articles such as '16th Street Line', 'Massachusetts Avenue Line', 'H Street Line' and 'U Street–Anacostia Line' describe bus routes and contain garbled streetcar history. Example: the 16th Street article says S2/S4 were streetcars, but chicagorailfan and the NRHP both say 16th St never had streetcars. These were not used for dates except where corroborated.</t>
  </si>
  <si>
    <t xml:space="preserve">Gap</t>
  </si>
  <si>
    <t xml:space="preserve">Soldiers' Home / Upshur St line (route 74)</t>
  </si>
  <si>
    <t xml:space="preserve">Original builder not identified in any source checked.</t>
  </si>
  <si>
    <t xml:space="preserve">Laurel end date</t>
  </si>
  <si>
    <t xml:space="preserve">No source gives the date service north of Beltsville ended.</t>
  </si>
  <si>
    <t xml:space="preserve">Done</t>
  </si>
  <si>
    <t xml:space="preserve">1905 'Laws Relating to Street-Railway Franchises'</t>
  </si>
  <si>
    <t xml:space="preserve">Read; see the 1905 Franchise Laws sheet. OCR is poor in margins, so some act dates are estimated.</t>
  </si>
  <si>
    <t xml:space="preserve">New line</t>
  </si>
  <si>
    <t xml:space="preserve">Brightwood Kenyon St branch (L53)</t>
  </si>
  <si>
    <t xml:space="preserve">Authorized 1893 with overhead trolley; a later act ordered it removed. Not mentioned in any other source checked.</t>
  </si>
  <si>
    <t xml:space="preserve">City &amp; Suburban Stanton Square loop (L55)</t>
  </si>
  <si>
    <t xml:space="preserve">Authorized 1892/1894; the later track-relocation order implies it was built.</t>
  </si>
  <si>
    <t xml:space="preserve">Mount Pleasant line route</t>
  </si>
  <si>
    <t xml:space="preserve">Ran on 'old Sixteenth Street', which is today's Mount Pleasant St (not Mount Pleasant Rd), to Park St.</t>
  </si>
  <si>
    <t xml:space="preserve">Built by the Belt Railway under a June 10, 1896 act (4th St, Harewood, Elm, Linden, Pomeroy Sts).</t>
  </si>
  <si>
    <t xml:space="preserve">Map caution</t>
  </si>
  <si>
    <t xml:space="preserve">Rand McNally 1910/1924 maps</t>
  </si>
  <si>
    <t xml:space="preserve">The thick red lines through the Capitol are quadrant boundaries (North/South Capitol St, East Capitol St–Mall axis), not track. The red squares beside the N.W./N.E./S.E./S.W. letters are decorative periods. The maps show track, not routes, and later editions reuse the same plate, so recently closed lines may still be drawn.</t>
  </si>
  <si>
    <t xml:space="preserve">1891 statistical map reproductions</t>
  </si>
  <si>
    <t xml:space="preserve">A recolored reproduction of the 1891 map circulates online; its colors don't match the original legend. Use the Library of Congress original for company identification.</t>
  </si>
  <si>
    <t xml:space="preserve">'Early Street Railways' GIS map</t>
  </si>
  <si>
    <t xml:space="preserve">A modern GIS rendering of the c.1880 network on a present-day basemap. Source and date not identified; could be a ready-made vector layer if found.</t>
  </si>
  <si>
    <t xml:space="preserve">Rosslyn / Key Bridge end date</t>
  </si>
  <si>
    <t xml:space="preserve">Aug 26, 1956 (Wikipedia, CRF) vs Dec 24, 1948 (Tundria).</t>
  </si>
  <si>
    <t xml:space="preserve">Routes 90/92 north end</t>
  </si>
  <si>
    <t xml:space="preserve">Tundria routes them via Calvert St and 16th St; all other sources say 18th St.</t>
  </si>
  <si>
    <t xml:space="preserve">Connecticut Ave north of P St in 1880</t>
  </si>
  <si>
    <t xml:space="preserve">The 1880 statistical map shows track to S St; Tindall and Wikipedia say it was paved over until 1883.</t>
  </si>
  <si>
    <t xml:space="preserve">Seat Pleasant routing (route 12)</t>
  </si>
  <si>
    <t xml:space="preserve">East Capitol St (Tundria) vs Deane Ave and Dix St (Berman 1942).</t>
  </si>
  <si>
    <t xml:space="preserve">Routes 40 and 42</t>
  </si>
  <si>
    <t xml:space="preserve">Both were Mount Pleasant (Park Rd) lines: 40 to Lincoln Park / 15th &amp; East Capitol, 42 to 13th &amp; C/D NE. Route 44 appears only on the 1936 map.</t>
  </si>
  <si>
    <t xml:space="preserve">Anacostia line (L18)</t>
  </si>
  <si>
    <t xml:space="preserve">The 1880 map shows it on M St only; the western charter route wasn't built by then. Still drawn in 1924, gone by 1942.</t>
  </si>
  <si>
    <t xml:space="preserve">Resolved</t>
  </si>
  <si>
    <t xml:space="preserve">Potomac Park terminal (L56)</t>
  </si>
  <si>
    <t xml:space="preserve">The 1910 and 1924 maps show the West End loop growing south to Virginia Ave, matching the 1916 second loop via 18th/19th Sts; this is the Potomac Park terminal of routes 80/82.</t>
  </si>
  <si>
    <t xml:space="preserve">Stanton Square / C &amp; D St NE loop (L55)</t>
  </si>
  <si>
    <t xml:space="preserve">Drawn on the 1910, 1924, 1942 and 1958 maps; ended with route 42 on Dec 3, 1961.</t>
  </si>
  <si>
    <t xml:space="preserve">Map key</t>
  </si>
  <si>
    <t xml:space="preserve">1912 map (Enclosure 1) colors</t>
  </si>
  <si>
    <t xml:space="preserve">Washington Railway &amp; Electric red; Capital Traction green; Washington, Alexandria &amp; Mt. Vernon blue; Great Falls &amp; Old Dominion orange; Washington, Arlington &amp; Falls Church dark blue; East Washington Heights Traction, Washington Spa Spring &amp; Gretta, and Baltimore &amp; Washington Transit each have their own color; joint WRECo/Capital Traction track is yellow-and-black. Base map is the 1911 'Permanent System of Highways'.</t>
  </si>
  <si>
    <t xml:space="preserve">Source</t>
  </si>
  <si>
    <t xml:space="preserve">Full-resolution 1912 map</t>
  </si>
  <si>
    <t xml:space="preserve">The GovInfo PDF of Senate Doc. 62-441 embeds Enclosure 1 as a 22,483 x 18,622 px color image, much sharper than the Library of Congress web view; best candidate for georeferencing the 1912 network by company.</t>
  </si>
  <si>
    <t xml:space="preserve">Service patterns 1913–1935</t>
  </si>
  <si>
    <t xml:space="preserve">Track is now covered by the 1910, 1919 and 1924 Rand McNally editions, but no Capital Traction or WRECo route guide from that era has been found online.</t>
  </si>
  <si>
    <t xml:space="preserve">Anacostia line end date</t>
  </si>
  <si>
    <t xml:space="preserve">Between 1924 and 1942; probably 1935.</t>
  </si>
  <si>
    <t xml:space="preserve">McLean Gardens loop (L57) and Louisiana Ave track (L58)</t>
  </si>
  <si>
    <t xml:space="preserve">Opening dates not found.</t>
  </si>
  <si>
    <t xml:space="preserve">Benning Rd junction and Seat Pleasant line (L16, L17)</t>
  </si>
  <si>
    <t xml:space="preserve">Audit against the 1912 map (Sept 2026): both branches left Benning Rd just west of today's Minnesota Ave and ran together northeast on their own alignment; the Seat Pleasant line then ran straight along Deane Ave (Nannie Helen Burroughs Ave) to the District line. Map redrawn to match.</t>
  </si>
  <si>
    <t xml:space="preserve">Pennsylvania Ave SE terminal (L01)</t>
  </si>
  <si>
    <t xml:space="preserve">Audit against the 1912 map: the 1901 extension ended in a loop around the block at 15th St SE, where the East Washington Heights line continued toward the bridge. The earlier drawing detoured north of Pennsylvania Ave; redrawn.</t>
  </si>
  <si>
    <t xml:space="preserve">Belt Railway south of New York Ave (L22)</t>
  </si>
  <si>
    <t xml:space="preserve">The 1912 map shows the Belt on 4th St NW only north of New York Ave, then along New York Ave to 5th St and down 5th St to G St. The written sources say 4th St to G St. The map now follows the 1912 map for the whole period; when the route moved is not documented.</t>
  </si>
  <si>
    <t xml:space="preserve">Tennallytown &amp; Rockville opening (L37)</t>
  </si>
  <si>
    <t xml:space="preserve">The Lines sheet gives 1890; the chronology entry for the 3.75-mile opening to Bethesda Park is dated 1891. The map draws the track from 1891.</t>
  </si>
  <si>
    <t xml:space="preserve">Electric years before opening (L13, L17, L31, L41)</t>
  </si>
  <si>
    <t xml:space="preserve">The electric years in the Lines sheet (1892, 1898, 1892, 1895) come before these lines' opening years (1893, 1900, 1893, 1897). They appear to be the parent company's electrification dates; the lines were electric from opening.</t>
  </si>
  <si>
    <t xml:space="preserve">Route numbers 31, 64 and 96</t>
  </si>
  <si>
    <t xml:space="preserve">Listed for lines L36, L19 and L09 but not found in the 1936-62 route table or the CTC table; not verified.</t>
  </si>
  <si>
    <t xml:space="preserve">Estimated opening years (L57, L58, V05)</t>
  </si>
  <si>
    <t xml:space="preserve">No source gives an opening year; the map uses 1943, 1908 and 1906.</t>
  </si>
  <si>
    <t xml:space="preserve">'Lydecker Avenue'</t>
  </si>
  <si>
    <t xml:space="preserve">The 1902 act extends the 11th St line north to Lydecker Ave; the modern name wasn't confirmed.</t>
  </si>
  <si>
    <t xml:space="preserve">Next source</t>
  </si>
  <si>
    <t xml:space="preserve">1918 PUC report 'Street Railways in the District of Columbia' (Senate Doc. 197)</t>
  </si>
  <si>
    <t xml:space="preserve">Line-by-line service and congestion data cited by the NRHP form.</t>
  </si>
  <si>
    <t xml:space="preserve">LeRoy King, 100 Years of Capital Traction (1972)</t>
  </si>
  <si>
    <t xml:space="preserve">The main secondary source behind the NRHP form and Wikipedia; not available online.</t>
  </si>
  <si>
    <t xml:space="preserve">Scope</t>
  </si>
  <si>
    <t xml:space="preserve">Built only (version 7)</t>
  </si>
  <si>
    <t xml:space="preserve">Unbuilt charters, proposed extensions (including the 1912 Commissioners' recommendations), companies that never laid track, and routes that existed only on paper have been removed from every sheet. Where an act or charter was only partly built, only the built portion is described.</t>
  </si>
  <si>
    <t xml:space="preserve">Key</t>
  </si>
  <si>
    <t xml:space="preserve">Used for</t>
  </si>
  <si>
    <t xml:space="preserve">NRHP MPD</t>
  </si>
  <si>
    <t xml:space="preserve">Streetcar and Bus Resources of Washington, D.C., 1862-1962 (National Register Multiple Property Documentation Form, EHT Traceries, 2005)</t>
  </si>
  <si>
    <t xml:space="preserve">https://dcpreservation.org/wp-content/uploads/2021/11/Streetcar-and-Bus-MPD-FINAL-5.2.06.pdf</t>
  </si>
  <si>
    <t xml:space="preserve">Best narrative source: companies, extensions, motive power, car barns</t>
  </si>
  <si>
    <t xml:space="preserve">Washington DC Transit Routes table (chicagorailfan.com)</t>
  </si>
  <si>
    <t xml:space="preserve">https://www.chicagorailfan.com/bcwasrtd.html</t>
  </si>
  <si>
    <t xml:space="preserve">Horse, cable and electric start years and bus conversion dates by line</t>
  </si>
  <si>
    <t xml:space="preserve">WP / WP-Main</t>
  </si>
  <si>
    <t xml:space="preserve">Wikipedia: Streetcars in Washington, D.C.</t>
  </si>
  <si>
    <t xml:space="preserve">https://en.wikipedia.org/wiki/Streetcars_in_Washington,_D.C.</t>
  </si>
  <si>
    <t xml:space="preserve">Company chronology, abandonment sequence, remnants</t>
  </si>
  <si>
    <t xml:space="preserve">Wikipedia: Streetcars in Washington, D.C., and Maryland</t>
  </si>
  <si>
    <t xml:space="preserve">https://en.wikipedia.org/wiki/Streetcars_in_Washington,_D.C.,_and_Maryland</t>
  </si>
  <si>
    <t xml:space="preserve">Maryland suburban lines</t>
  </si>
  <si>
    <t xml:space="preserve">Wikipedia: Northern Virginia trolleys</t>
  </si>
  <si>
    <t xml:space="preserve">https://en.wikipedia.org/wiki/Northern_Virginia_trolleys</t>
  </si>
  <si>
    <t xml:space="preserve">Virginia lines and branches</t>
  </si>
  <si>
    <t xml:space="preserve">Ghosts of DC: The 1936 Capital Transit map</t>
  </si>
  <si>
    <t xml:space="preserve">1936 route numbers and destinations</t>
  </si>
  <si>
    <t xml:space="preserve">GGW</t>
  </si>
  <si>
    <t xml:space="preserve">Greater Greater Washington: 1942 map; origin of Metrobus numbers</t>
  </si>
  <si>
    <t xml:space="preserve">https://ggwash.org/view/35308/check-out-this-1942-dc-bus-and-streetcar-map</t>
  </si>
  <si>
    <t xml:space="preserve">Route-number corridors</t>
  </si>
  <si>
    <t xml:space="preserve">William Tindall, 'Beginnings of Street Railways in the National Capital,' Records of the Columbia Historical Society 21 (1918), pp. 24-86</t>
  </si>
  <si>
    <t xml:space="preserve">https://archive.org/details/jstor-40067099</t>
  </si>
  <si>
    <t xml:space="preserve">Charter routes, acts of Congress, company successions (full text read)</t>
  </si>
  <si>
    <t xml:space="preserve">GRAY</t>
  </si>
  <si>
    <t xml:space="preserve">V.H. Gray, 'Development of Street Railway Systems in Washington, D.C.' (Univ. of Maryland thesis, 1937)</t>
  </si>
  <si>
    <t xml:space="preserve">https://archive.org/details/DevelopmentOfStreetRailwaySystemsInWashingtonD.c.V.h.Gray</t>
  </si>
  <si>
    <t xml:space="preserve">Motive power, conduit construction, car types (little line detail)</t>
  </si>
  <si>
    <t xml:space="preserve">Laws Relating to Street-Railway Franchises in the District of Columbia (1896; 1905 ed.)</t>
  </si>
  <si>
    <t xml:space="preserve">https://archive.org/details/lawsrelatingtost00unit</t>
  </si>
  <si>
    <t xml:space="preserve">Primary source for authorized routes; read in full (see 1905 Franchise Laws sheet)</t>
  </si>
  <si>
    <t xml:space="preserve">Wikipedia: Washington and Georgetown Railroad</t>
  </si>
  <si>
    <t xml:space="preserve">https://en.wikipedia.org/wiki/Washington_and_Georgetown_Railroad</t>
  </si>
  <si>
    <t xml:space="preserve">Wikipedia: Pennsylvania Avenue Line (Washington, D.C.)</t>
  </si>
  <si>
    <t xml:space="preserve">https://en.wikipedia.org/wiki/Pennsylvania_Avenue_Line_(Washington,_D.C.)</t>
  </si>
  <si>
    <t xml:space="preserve">Best line article: dated extensions, 1936 route list</t>
  </si>
  <si>
    <t xml:space="preserve">Wikipedia: 14th Street Line (Washington, D.C.)</t>
  </si>
  <si>
    <t xml:space="preserve">https://en.wikipedia.org/wiki/14th_Street_Line_(Washington,_D.C.)</t>
  </si>
  <si>
    <t xml:space="preserve">Wikipedia: Metropolitan Railroad</t>
  </si>
  <si>
    <t xml:space="preserve">https://en.wikipedia.org/wiki/Metropolitan_Railroad</t>
  </si>
  <si>
    <t xml:space="preserve">Wikipedia: Columbia Railway</t>
  </si>
  <si>
    <t xml:space="preserve">https://en.wikipedia.org/wiki/Columbia_Railway</t>
  </si>
  <si>
    <t xml:space="preserve">Wikipedia: Anacostia and Potomac River Railroad</t>
  </si>
  <si>
    <t xml:space="preserve">https://en.wikipedia.org/wiki/Anacostia_and_Potomac_River_Railroad</t>
  </si>
  <si>
    <t xml:space="preserve">Wikipedia: Capitol, North O Street and South Washington Railway</t>
  </si>
  <si>
    <t xml:space="preserve">https://en.wikipedia.org/wiki/Capitol,_North_O_Street_and_South_Washington_Railway</t>
  </si>
  <si>
    <t xml:space="preserve">Wikipedia: Rock Creek Railway</t>
  </si>
  <si>
    <t xml:space="preserve">https://en.wikipedia.org/wiki/Rock_Creek_Railway</t>
  </si>
  <si>
    <t xml:space="preserve">Wikipedia: Capital Traction Company</t>
  </si>
  <si>
    <t xml:space="preserve">https://en.wikipedia.org/wiki/Capital_Traction_Company</t>
  </si>
  <si>
    <t xml:space="preserve">Wikipedia: Washington Railway and Electric Company</t>
  </si>
  <si>
    <t xml:space="preserve">https://en.wikipedia.org/wiki/Washington_Railway_and_Electric_Company</t>
  </si>
  <si>
    <t xml:space="preserve">Wikipedia: Georgetown-to-Rockville streetcar service</t>
  </si>
  <si>
    <t xml:space="preserve">https://en.wikipedia.org/wiki/Georgetown-to-Rockville_streetcar_service</t>
  </si>
  <si>
    <t xml:space="preserve">Wikipedia: Baltimore and Washington Transit Company</t>
  </si>
  <si>
    <t xml:space="preserve">https://en.wikipedia.org/wiki/Baltimore_and_Washington_Transit_Company</t>
  </si>
  <si>
    <t xml:space="preserve">Wikipedia: Great Falls and Old Dominion Railroad</t>
  </si>
  <si>
    <t xml:space="preserve">https://en.wikipedia.org/wiki/Great_Falls_and_Old_Dominion_Railroad</t>
  </si>
  <si>
    <t xml:space="preserve">WP-HSt / WP-UStCH</t>
  </si>
  <si>
    <t xml:space="preserve">Wikipedia: H Street Line; U Street–Congress Heights Line (Metrobus articles)</t>
  </si>
  <si>
    <t xml:space="preserve">https://en.wikipedia.org/wiki/H_Street_Line</t>
  </si>
  <si>
    <t xml:space="preserve">Used only where corroborated</t>
  </si>
  <si>
    <t xml:space="preserve">Tundria (GS Tram Site): Washington 1946 streetcar routes and 1946–58 abandonments</t>
  </si>
  <si>
    <t xml:space="preserve">Street-by-street 1946 routings; secondary source</t>
  </si>
  <si>
    <t xml:space="preserve">MAP1880</t>
  </si>
  <si>
    <t xml:space="preserve">City of Washington Statistical Map No. 10, Street Railways (1880)</t>
  </si>
  <si>
    <t xml:space="preserve">Map evidence</t>
  </si>
  <si>
    <t xml:space="preserve">MAP1910</t>
  </si>
  <si>
    <t xml:space="preserve">Rand McNally, Washington D.C. (1910), LOC G3850 1910 .R3</t>
  </si>
  <si>
    <t xml:space="preserve">Map evidence (link unverified)</t>
  </si>
  <si>
    <t xml:space="preserve">MAP1924</t>
  </si>
  <si>
    <t xml:space="preserve">Rand McNally standard map of Washington D.C., Commercial Atlas of America (1924)</t>
  </si>
  <si>
    <t xml:space="preserve">MAP1912</t>
  </si>
  <si>
    <t xml:space="preserve">Street railways of the District of Columbia with proposed extensions (Enclosure 1, Senate Doc. 62-441, March 20, 1912), with the Commissioners' report</t>
  </si>
  <si>
    <t xml:space="preserve">Map and text evidence</t>
  </si>
  <si>
    <t xml:space="preserve">MAP1942</t>
  </si>
  <si>
    <t xml:space="preserve">Jake Berman, Capital Transit Street Car Lines, June 1, 1942 (2019 redraw)</t>
  </si>
  <si>
    <t xml:space="preserve">Map evidence (modern redraw)</t>
  </si>
  <si>
    <t xml:space="preserve">Charles Wagner, D.C. Transit trackage as of August 1958</t>
  </si>
  <si>
    <t xml:space="preserve">Book</t>
  </si>
  <si>
    <t xml:space="preserve">LeRoy O. King, 100 Years of Capital Traction (1972)</t>
  </si>
  <si>
    <t xml:space="preserve">Cited heavily by the NRHP form; not consulted directly</t>
  </si>
  <si>
    <t xml:space="preserve">William Tindall, 'Beginnings of Street Railways in the National Capital,' Records of the Columbia Historical Society 21 (1918)</t>
  </si>
  <si>
    <t xml:space="preserve">Primary early-history source cited by Wikipedia</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</si>
</sst>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i val="true"/>
      <sz val="9"/>
      <name val="Arial"/>
      <family val="0"/>
      <charset val="1"/>
    </font>
    <font>
      <b val="true"/>
      <sz val="12"/>
      <name val="Arial"/>
      <family val="0"/>
      <charset val="1"/>
    </font>
    <font>
      <b val="true"/>
      <sz val="10"/>
      <color rgb="FFFFFFFF"/>
      <name val="Arial"/>
      <family val="0"/>
      <charset val="1"/>
    </font>
    <font>
      <b val="true"/>
      <sz val="10"/>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Chronology" displayName="Chronology" ref="A1:F234" headerRowCount="1" totalsRowCount="0" totalsRowShown="0">
  <autoFilter ref="A1:F234"/>
  <tableColumns count="6">
    <tableColumn id="1" name="Year"/>
    <tableColumn id="2" name="Date"/>
    <tableColumn id="3" name="Line ID"/>
    <tableColumn id="4" name="Line"/>
    <tableColumn id="5" name="Event"/>
    <tableColumn id="6" name="Sources"/>
  </tableColumns>
</table>
</file>

<file path=xl/tables/table2.xml><?xml version="1.0" encoding="utf-8"?>
<table xmlns="http://schemas.openxmlformats.org/spreadsheetml/2006/main" id="2" name="Companies" displayName="Companies" ref="A1:H38" headerRowCount="1" totalsRowCount="0" totalsRowShown="0">
  <autoFilter ref="A1:H38"/>
  <tableColumns count="8">
    <tableColumn id="1" name="Company"/>
    <tableColumn id="2" name="Chartered / incorporated"/>
    <tableColumn id="3" name="Service began"/>
    <tableColumn id="4" name="Ended / absorbed"/>
    <tableColumn id="5" name="Successor"/>
    <tableColumn id="6" name="Motive power"/>
    <tableColumn id="7" name="Notes"/>
    <tableColumn id="8" name="Sources"/>
  </tableColumns>
</table>
</file>

<file path=xl/tables/table3.xml><?xml version="1.0" encoding="utf-8"?>
<table xmlns="http://schemas.openxmlformats.org/spreadsheetml/2006/main" id="3" name="FranchiseLaws" displayName="FranchiseLaws" ref="A3:H52" headerRowCount="1" totalsRowCount="0" totalsRowShown="0">
  <autoFilter ref="A3:H52"/>
  <tableColumns count="8">
    <tableColumn id="1" name="Act date"/>
    <tableColumn id="2" name="Year"/>
    <tableColumn id="3" name="Company"/>
    <tableColumn id="4" name="Act"/>
    <tableColumn id="5" name="Authorized route (as written in the law)"/>
    <tableColumn id="6" name="Built?"/>
    <tableColumn id="7" name="Line ID"/>
    <tableColumn id="8" name="Notes"/>
  </tableColumns>
</table>
</file>

<file path=xl/tables/table4.xml><?xml version="1.0" encoding="utf-8"?>
<table xmlns="http://schemas.openxmlformats.org/spreadsheetml/2006/main" id="4" name="Lines" displayName="Lines" ref="A1:U66" headerRowCount="1" totalsRowCount="0" totalsRowShown="0">
  <autoFilter ref="A1:U66"/>
  <tableColumns count="21">
    <tableColumn id="1" name="ID"/>
    <tableColumn id="2" name="Line / corridor"/>
    <tableColumn id="3" name="Streets &amp; termini (as described in sources)"/>
    <tableColumn id="4" name="Jurisdiction"/>
    <tableColumn id="5" name="Original company"/>
    <tableColumn id="6" name="Later operators"/>
    <tableColumn id="7" name="Motive power history"/>
    <tableColumn id="8" name="First year of rail service"/>
    <tableColumn id="9" name="Horse cars from"/>
    <tableColumn id="10" name="Cable from"/>
    <tableColumn id="11" name="Electric from"/>
    <tableColumn id="12" name="Capital Transit route no(s). (1936+)"/>
    <tableColumn id="13" name="Streetcar service ended"/>
    <tableColumn id="14" name="Year service ended"/>
    <tableColumn id="15" name="Replaced by"/>
    <tableColumn id="16" name="Notes"/>
    <tableColumn id="17" name="Sources"/>
    <tableColumn id="18" name="Track drawn (km)"/>
    <tableColumn id="19" name="Of which shared (km)"/>
    <tableColumn id="20" name="Shares track with"/>
    <tableColumn id="21" name="Chronology and dated routes (OHM)"/>
  </tableColumns>
</table>
</file>

<file path=xl/tables/table5.xml><?xml version="1.0" encoding="utf-8"?>
<table xmlns="http://schemas.openxmlformats.org/spreadsheetml/2006/main" id="5" name="Maps" displayName="Maps" ref="A1:E38" headerRowCount="1" totalsRowCount="0" totalsRowShown="0">
  <autoFilter ref="A1:E38"/>
  <tableColumns count="5">
    <tableColumn id="1" name="Year"/>
    <tableColumn id="2" name="Map"/>
    <tableColumn id="3" name="Holder / publisher"/>
    <tableColumn id="4" name="URL"/>
    <tableColumn id="5" name="Access"/>
  </tableColumns>
</table>
</file>

<file path=xl/tables/table6.xml><?xml version="1.0" encoding="utf-8"?>
<table xmlns="http://schemas.openxmlformats.org/spreadsheetml/2006/main" id="6" name="Notes" displayName="Notes" ref="A1:C50" headerRowCount="1" totalsRowCount="0" totalsRowShown="0">
  <autoFilter ref="A1:C50"/>
  <tableColumns count="3">
    <tableColumn id="1" name="Type"/>
    <tableColumn id="2" name="Topic"/>
    <tableColumn id="3" name="Detail"/>
  </tableColumns>
</table>
</file>

<file path=xl/tables/table7.xml><?xml version="1.0" encoding="utf-8"?>
<table xmlns="http://schemas.openxmlformats.org/spreadsheetml/2006/main" id="7" name="Routes1936" displayName="Routes1936" ref="A1:E24" headerRowCount="1" totalsRowCount="0" totalsRowShown="0">
  <autoFilter ref="A1:E24"/>
  <tableColumns count="5">
    <tableColumn id="1" name="Route"/>
    <tableColumn id="2" name="Termini"/>
    <tableColumn id="3" name="Routing (1946 where known)"/>
    <tableColumn id="4" name="Streetcar service ended"/>
    <tableColumn id="5" name="Sources"/>
  </tableColumns>
</table>
</file>

<file path=xl/tables/table8.xml><?xml version="1.0" encoding="utf-8"?>
<table xmlns="http://schemas.openxmlformats.org/spreadsheetml/2006/main" id="8" name="RouteTable" displayName="RouteTable" ref="A3:J52" headerRowCount="1" totalsRowCount="0" totalsRowShown="0">
  <autoFilter ref="A3:J52"/>
  <tableColumns count="10">
    <tableColumn id="1" name="Line (CRF name)"/>
    <tableColumn id="2" name="Old route no."/>
    <tableColumn id="3" name="Pre-1933 operator"/>
    <tableColumn id="4" name="Horse cars"/>
    <tableColumn id="5" name="Cable cars"/>
    <tableColumn id="6" name="Electric cars"/>
    <tableColumn id="7" name="Converted to bus (M/D/YY)"/>
    <tableColumn id="8" name="Year converted"/>
    <tableColumn id="9" name="Successor bus route"/>
    <tableColumn id="10" name="WMATA-era route no. (CRF key; parentheses = discontinued)"/>
  </tableColumns>
</table>
</file>

<file path=xl/tables/table9.xml><?xml version="1.0" encoding="utf-8"?>
<table xmlns="http://schemas.openxmlformats.org/spreadsheetml/2006/main" id="9" name="Sources" displayName="Sources" ref="A1:D34" headerRowCount="1" totalsRowCount="0" totalsRowShown="0">
  <autoFilter ref="A1:D34"/>
  <tableColumns count="4">
    <tableColumn id="1" name="Key"/>
    <tableColumn id="2" name="Source"/>
    <tableColumn id="3" name="URL"/>
    <tableColumn id="4" name="Used for"/>
  </tableColumns>
</table>
</file>

<file path=xl/tables/table10.xml><?xml version="1.0" encoding="utf-8"?>
<table xmlns="http://schemas.openxmlformats.org/spreadsheetml/2006/main" id="10" name="TrackNodes" displayName="TrackNodes" ref="A1:G198" headerRowCount="1" totalsRowCount="0" totalsRowShown="0">
  <autoFilter ref="A1:G198"/>
  <tableColumns count="7">
    <tableColumn id="1" name="Node id"/>
    <tableColumn id="2" name="railway"/>
    <tableColumn id="3" name="Latitude"/>
    <tableColumn id="4" name="Longitude"/>
    <tableColumn id="5" name="start_date"/>
    <tableColumn id="6" name="end_date"/>
    <tableColumn id="7" name="Node tags (OHM)"/>
  </tableColumns>
</table>
</file>

<file path=xl/tables/table11.xml><?xml version="1.0" encoding="utf-8"?>
<table xmlns="http://schemas.openxmlformats.org/spreadsheetml/2006/main" id="11" name="TrackWays" displayName="TrackWays" ref="A1:K428" headerRowCount="1" totalsRowCount="0" totalsRowShown="0">
  <autoFilter ref="A1:K428"/>
  <tableColumns count="11">
    <tableColumn id="1" name="Way"/>
    <tableColumn id="2" name="Way id"/>
    <tableColumn id="3" name="Length (m)"/>
    <tableColumn id="4" name="start_date"/>
    <tableColumn id="5" name="end_date"/>
    <tableColumn id="6" name="Lines (route relations)"/>
    <tableColumn id="7" name="Line names"/>
    <tableColumn id="8" name="Shared"/>
    <tableColumn id="9" name="Company families"/>
    <tableColumn id="10" name="Way tags (OHM)"/>
    <tableColumn id="11" name="Use by line (year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11.xml"/>
</Relationships>
</file>

<file path=xl/worksheets/_rels/sheet5.xml.rels><?xml version="1.0" encoding="UTF-8"?>
<Relationships xmlns="http://schemas.openxmlformats.org/package/2006/relationships"><Relationship Id="rId1" Type="http://schemas.openxmlformats.org/officeDocument/2006/relationships/table" Target="../tables/table10.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2.xml"/>
</Relationships>
</file>

<file path=xl/worksheets/_rels/sheet11.xml.rels><?xml version="1.0" encoding="UTF-8"?>
<Relationships xmlns="http://schemas.openxmlformats.org/package/2006/relationships"><Relationship Id="rId1" Type="http://schemas.openxmlformats.org/officeDocument/2006/relationships/hyperlink" Target="https://transitmap.net/store/product/1880-washington-dc/" TargetMode="External"/><Relationship Id="rId2" Type="http://schemas.openxmlformats.org/officeDocument/2006/relationships/hyperlink" Target="https://www.loc.gov/resource/g3851fm.gct00015/?sp=11" TargetMode="External"/><Relationship Id="rId3" Type="http://schemas.openxmlformats.org/officeDocument/2006/relationships/hyperlink" Target="https://53studio.com/" TargetMode="External"/><Relationship Id="rId4" Type="http://schemas.openxmlformats.org/officeDocument/2006/relationships/hyperlink" Target="https://storymaps.arcgis.com/stories/d421c20521214832ac661b11a9ec3958" TargetMode="External"/><Relationship Id="rId5" Type="http://schemas.openxmlformats.org/officeDocument/2006/relationships/hyperlink" Target="https://ggwash.org/view/29893/see-all-historic-dc-area-trolley-routes-on-one-map" TargetMode="External"/><Relationship Id="rId6" Type="http://schemas.openxmlformats.org/officeDocument/2006/relationships/hyperlink" Target="https://transitmap.net/dc-streetcars-1891/" TargetMode="External"/><Relationship Id="rId7" Type="http://schemas.openxmlformats.org/officeDocument/2006/relationships/hyperlink" Target="https://www.loc.gov/item/90685664/" TargetMode="External"/><Relationship Id="rId8" Type="http://schemas.openxmlformats.org/officeDocument/2006/relationships/hyperlink" Target="https://www.loc.gov/item/87693024" TargetMode="External"/><Relationship Id="rId9" Type="http://schemas.openxmlformats.org/officeDocument/2006/relationships/hyperlink" Target="https://commons.wikimedia.org/wiki/File:Map_of_Washington,_D.C.,_and_suburbs_-_showing_the_latest_streets_and_all_the_new_railway_and_street-car_routes_LOC_88693395.jpg" TargetMode="External"/><Relationship Id="rId10" Type="http://schemas.openxmlformats.org/officeDocument/2006/relationships/hyperlink" Target="https://collections.leventhalmap.org/search/commonwealth:4m90f386r" TargetMode="External"/><Relationship Id="rId11" Type="http://schemas.openxmlformats.org/officeDocument/2006/relationships/hyperlink" Target="https://geo.nyu.edu/catalog/harvard-g3850-1895-r3" TargetMode="External"/><Relationship Id="rId12" Type="http://schemas.openxmlformats.org/officeDocument/2006/relationships/hyperlink" Target="https://www.loc.gov/item/87695722/" TargetMode="External"/><Relationship Id="rId13" Type="http://schemas.openxmlformats.org/officeDocument/2006/relationships/hyperlink" Target="https://www.loc.gov/item/91683221" TargetMode="External"/><Relationship Id="rId14" Type="http://schemas.openxmlformats.org/officeDocument/2006/relationships/hyperlink" Target="https://www.loc.gov/item/87691460/" TargetMode="External"/><Relationship Id="rId15" Type="http://schemas.openxmlformats.org/officeDocument/2006/relationships/hyperlink" Target="https://www.loc.gov/item/87695724" TargetMode="External"/><Relationship Id="rId16" Type="http://schemas.openxmlformats.org/officeDocument/2006/relationships/hyperlink" Target="https://www.govinfo.gov/app/details/SERIALSET-06181_00_00-076-0441-0000" TargetMode="External"/><Relationship Id="rId17" Type="http://schemas.openxmlformats.org/officeDocument/2006/relationships/hyperlink" Target="https://www.govinfo.gov/app/details/SERIALSET-07323_00_00-002-0197-0000" TargetMode="External"/><Relationship Id="rId18" Type="http://schemas.openxmlformats.org/officeDocument/2006/relationships/hyperlink" Target="https://umedia.lib.umn.edu/item/p16022coll230:1489" TargetMode="External"/><Relationship Id="rId19" Type="http://schemas.openxmlformats.org/officeDocument/2006/relationships/hyperlink" Target="https://www.davidrumsey.com/" TargetMode="External"/><Relationship Id="rId20" Type="http://schemas.openxmlformats.org/officeDocument/2006/relationships/hyperlink" Target="https://collections.leventhalmap.org/search/commonwealth:r494z3573" TargetMode="External"/><Relationship Id="rId21" Type="http://schemas.openxmlformats.org/officeDocument/2006/relationships/hyperlink" Target="https://transitmap.net/dc-streetcars-1936/" TargetMode="External"/><Relationship Id="rId22" Type="http://schemas.openxmlformats.org/officeDocument/2006/relationships/hyperlink" Target="https://ghostsofdc.org/2013/01/29/new-1936-streetcar-map/" TargetMode="External"/><Relationship Id="rId23" Type="http://schemas.openxmlformats.org/officeDocument/2006/relationships/hyperlink" Target="https://www.loc.gov/maps/?fa=contributor%3Acapital+transit+company%7Clocation%3Awashington+d.c.&amp;all=true" TargetMode="External"/><Relationship Id="rId24" Type="http://schemas.openxmlformats.org/officeDocument/2006/relationships/hyperlink" Target="https://wardmaps.com/products/capital-transit-washington-d-c-system-map-1940" TargetMode="External"/><Relationship Id="rId25" Type="http://schemas.openxmlformats.org/officeDocument/2006/relationships/hyperlink" Target="https://ddotdc.tumblr.com/post/179456618744/a-map-showing-the-streetcar-routes-in-downtown" TargetMode="External"/><Relationship Id="rId26" Type="http://schemas.openxmlformats.org/officeDocument/2006/relationships/hyperlink" Target="https://53studio.com/products/washington-dc-streetcar-system-map-june-1942" TargetMode="External"/><Relationship Id="rId27" Type="http://schemas.openxmlformats.org/officeDocument/2006/relationships/hyperlink" Target="https://www.loc.gov/maps/?fa=contributor%3Acapital+transit+company%7Clocation%3Awashington+d.c.&amp;all=true" TargetMode="External"/><Relationship Id="rId28" Type="http://schemas.openxmlformats.org/officeDocument/2006/relationships/hyperlink" Target="https://www.loc.gov/maps/?all=true&amp;fa=contributor%3Acapital+transit+company%7Csubject%3Alocal+transit%7Clocation%3Awashington+d.c." TargetMode="External"/><Relationship Id="rId29" Type="http://schemas.openxmlformats.org/officeDocument/2006/relationships/hyperlink" Target="https://ddotdc.tumblr.com/post/179456618744/a-map-showing-the-streetcar-routes-in-downtown" TargetMode="External"/><Relationship Id="rId30" Type="http://schemas.openxmlformats.org/officeDocument/2006/relationships/hyperlink" Target="https://ggwash.org/view/70853/check-out-this-streetcar-and-subway-map-of-washington-dc-1944" TargetMode="External"/><Relationship Id="rId31" Type="http://schemas.openxmlformats.org/officeDocument/2006/relationships/hyperlink" Target="https://www.loc.gov/maps/?all=true&amp;fa=contributor%3Acapital+transit+company%7Csubject%3Alocal+transit%7Clocation%3Awashington+d.c." TargetMode="External"/><Relationship Id="rId32" Type="http://schemas.openxmlformats.org/officeDocument/2006/relationships/hyperlink" Target="https://www.loc.gov/maps/?all=true&amp;fa=contributor%3Acapital+transit+company%7Csubject%3Alocal+transit%7Clocation%3Awashington+d.c." TargetMode="External"/><Relationship Id="rId33" Type="http://schemas.openxmlformats.org/officeDocument/2006/relationships/hyperlink" Target="http://www.tundria.com/trams/USA/Washington-1946.php" TargetMode="External"/><Relationship Id="rId34" Type="http://schemas.openxmlformats.org/officeDocument/2006/relationships/hyperlink" Target="https://commons.wikimedia.org/wiki/File:Guide_map._Capital_transit._Street_car_and_bus_lines._Washington._5.000_feet_-_btv1b531895914_(1_of_2).jpg" TargetMode="External"/><Relationship Id="rId35" Type="http://schemas.openxmlformats.org/officeDocument/2006/relationships/hyperlink" Target="https://transitmap.net/washington-dc-trackage-1958/" TargetMode="External"/><Relationship Id="rId36" Type="http://schemas.openxmlformats.org/officeDocument/2006/relationships/hyperlink" Target="https://www.ebay.de/itm/146827621144" TargetMode="External"/><Relationship Id="rId37" Type="http://schemas.openxmlformats.org/officeDocument/2006/relationships/table" Target="../tables/table5.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hyperlink" Target="https://dcpreservation.org/wp-content/uploads/2021/11/Streetcar-and-Bus-MPD-FINAL-5.2.06.pdf" TargetMode="External"/><Relationship Id="rId2" Type="http://schemas.openxmlformats.org/officeDocument/2006/relationships/hyperlink" Target="https://www.chicagorailfan.com/bcwasrtd.html" TargetMode="External"/><Relationship Id="rId3" Type="http://schemas.openxmlformats.org/officeDocument/2006/relationships/hyperlink" Target="https://en.wikipedia.org/wiki/Streetcars_in_Washington,_D.C." TargetMode="External"/><Relationship Id="rId4" Type="http://schemas.openxmlformats.org/officeDocument/2006/relationships/hyperlink" Target="https://en.wikipedia.org/wiki/Streetcars_in_Washington,_D.C.,_and_Maryland" TargetMode="External"/><Relationship Id="rId5" Type="http://schemas.openxmlformats.org/officeDocument/2006/relationships/hyperlink" Target="https://en.wikipedia.org/wiki/Northern_Virginia_trolleys" TargetMode="External"/><Relationship Id="rId6" Type="http://schemas.openxmlformats.org/officeDocument/2006/relationships/hyperlink" Target="https://ghostsofdc.org/2013/01/29/new-1936-streetcar-map/" TargetMode="External"/><Relationship Id="rId7" Type="http://schemas.openxmlformats.org/officeDocument/2006/relationships/hyperlink" Target="https://ggwash.org/view/35308/check-out-this-1942-dc-bus-and-streetcar-map" TargetMode="External"/><Relationship Id="rId8" Type="http://schemas.openxmlformats.org/officeDocument/2006/relationships/hyperlink" Target="https://archive.org/details/jstor-40067099" TargetMode="External"/><Relationship Id="rId9" Type="http://schemas.openxmlformats.org/officeDocument/2006/relationships/hyperlink" Target="https://archive.org/details/DevelopmentOfStreetRailwaySystemsInWashingtonD.c.V.h.Gray" TargetMode="External"/><Relationship Id="rId10" Type="http://schemas.openxmlformats.org/officeDocument/2006/relationships/hyperlink" Target="https://archive.org/details/lawsrelatingtost00unit" TargetMode="External"/><Relationship Id="rId11" Type="http://schemas.openxmlformats.org/officeDocument/2006/relationships/hyperlink" Target="https://en.wikipedia.org/wiki/Washington_and_Georgetown_Railroad" TargetMode="External"/><Relationship Id="rId12" Type="http://schemas.openxmlformats.org/officeDocument/2006/relationships/hyperlink" Target="https://en.wikipedia.org/wiki/Pennsylvania_Avenue_Line_(Washington,_D.C.)" TargetMode="External"/><Relationship Id="rId13" Type="http://schemas.openxmlformats.org/officeDocument/2006/relationships/hyperlink" Target="https://en.wikipedia.org/wiki/14th_Street_Line_(Washington,_D.C.)" TargetMode="External"/><Relationship Id="rId14" Type="http://schemas.openxmlformats.org/officeDocument/2006/relationships/hyperlink" Target="https://en.wikipedia.org/wiki/Metropolitan_Railroad" TargetMode="External"/><Relationship Id="rId15" Type="http://schemas.openxmlformats.org/officeDocument/2006/relationships/hyperlink" Target="https://en.wikipedia.org/wiki/Columbia_Railway" TargetMode="External"/><Relationship Id="rId16" Type="http://schemas.openxmlformats.org/officeDocument/2006/relationships/hyperlink" Target="https://en.wikipedia.org/wiki/Anacostia_and_Potomac_River_Railroad" TargetMode="External"/><Relationship Id="rId17" Type="http://schemas.openxmlformats.org/officeDocument/2006/relationships/hyperlink" Target="https://en.wikipedia.org/wiki/Capitol,_North_O_Street_and_South_Washington_Railway" TargetMode="External"/><Relationship Id="rId18" Type="http://schemas.openxmlformats.org/officeDocument/2006/relationships/hyperlink" Target="https://en.wikipedia.org/wiki/Rock_Creek_Railway" TargetMode="External"/><Relationship Id="rId19" Type="http://schemas.openxmlformats.org/officeDocument/2006/relationships/hyperlink" Target="https://en.wikipedia.org/wiki/Capital_Traction_Company" TargetMode="External"/><Relationship Id="rId20" Type="http://schemas.openxmlformats.org/officeDocument/2006/relationships/hyperlink" Target="https://en.wikipedia.org/wiki/Washington_Railway_and_Electric_Company" TargetMode="External"/><Relationship Id="rId21" Type="http://schemas.openxmlformats.org/officeDocument/2006/relationships/hyperlink" Target="https://en.wikipedia.org/wiki/Georgetown-to-Rockville_streetcar_service" TargetMode="External"/><Relationship Id="rId22" Type="http://schemas.openxmlformats.org/officeDocument/2006/relationships/hyperlink" Target="https://en.wikipedia.org/wiki/Baltimore_and_Washington_Transit_Company" TargetMode="External"/><Relationship Id="rId23" Type="http://schemas.openxmlformats.org/officeDocument/2006/relationships/hyperlink" Target="https://en.wikipedia.org/wiki/Great_Falls_and_Old_Dominion_Railroad" TargetMode="External"/><Relationship Id="rId24" Type="http://schemas.openxmlformats.org/officeDocument/2006/relationships/hyperlink" Target="https://en.wikipedia.org/wiki/H_Street_Line" TargetMode="External"/><Relationship Id="rId25" Type="http://schemas.openxmlformats.org/officeDocument/2006/relationships/hyperlink" Target="http://www.tundria.com/trams/USA/Washington-1946.php" TargetMode="External"/><Relationship Id="rId26" Type="http://schemas.openxmlformats.org/officeDocument/2006/relationships/hyperlink" Target="https://www.loc.gov/resource/g3851fm.gct00015/?sp=11" TargetMode="External"/><Relationship Id="rId27" Type="http://schemas.openxmlformats.org/officeDocument/2006/relationships/hyperlink" Target="https://www.loc.gov/item/87691460/" TargetMode="External"/><Relationship Id="rId28" Type="http://schemas.openxmlformats.org/officeDocument/2006/relationships/hyperlink" Target="https://www.davidrumsey.com/" TargetMode="External"/><Relationship Id="rId29" Type="http://schemas.openxmlformats.org/officeDocument/2006/relationships/hyperlink" Target="https://www.govinfo.gov/app/details/SERIALSET-06181_00_00-076-0441-0000" TargetMode="External"/><Relationship Id="rId30" Type="http://schemas.openxmlformats.org/officeDocument/2006/relationships/hyperlink" Target="https://53studio.com/products/washington-dc-streetcar-system-map-june-1942" TargetMode="External"/><Relationship Id="rId31" Type="http://schemas.openxmlformats.org/officeDocument/2006/relationships/hyperlink" Target="https://transitmap.net/washington-dc-trackage-1958/" TargetMode="External"/><Relationship Id="rId32" Type="http://schemas.openxmlformats.org/officeDocument/2006/relationships/table" Target="../tables/table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4" t="s">
        <v>2</v>
      </c>
    </row>
    <row r="5" customFormat="false" ht="23.85" hidden="false" customHeight="false" outlineLevel="0" collapsed="false">
      <c r="A5" s="4" t="s">
        <v>3</v>
      </c>
    </row>
    <row r="6" customFormat="false" ht="35.05" hidden="false" customHeight="false" outlineLevel="0" collapsed="false">
      <c r="A6" s="4" t="s">
        <v>4</v>
      </c>
    </row>
    <row r="7" customFormat="false" ht="35.05" hidden="false" customHeight="false" outlineLevel="0" collapsed="false">
      <c r="A7" s="4" t="s">
        <v>5</v>
      </c>
    </row>
    <row r="8" customFormat="false" ht="23.85" hidden="false" customHeight="false" outlineLevel="0" collapsed="false">
      <c r="A8" s="4" t="s">
        <v>6</v>
      </c>
    </row>
    <row r="9" customFormat="false" ht="23.85" hidden="false" customHeight="false" outlineLevel="0" collapsed="false">
      <c r="A9" s="4" t="s">
        <v>7</v>
      </c>
    </row>
    <row r="10" customFormat="false" ht="15" hidden="false" customHeight="false" outlineLevel="0" collapsed="false">
      <c r="A10" s="4" t="s">
        <v>8</v>
      </c>
    </row>
    <row r="11" customFormat="false" ht="35.0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4" t="s">
        <v>11</v>
      </c>
    </row>
    <row r="14" customFormat="false" ht="15" hidden="false" customHeight="false" outlineLevel="0" collapsed="false">
      <c r="A14" s="4" t="s">
        <v>12</v>
      </c>
    </row>
    <row r="15" customFormat="false" ht="15" hidden="false" customHeight="false" outlineLevel="0" collapsed="false">
      <c r="A15" s="4" t="s">
        <v>13</v>
      </c>
    </row>
    <row r="16" customFormat="false" ht="15" hidden="false" customHeight="false" outlineLevel="0" collapsed="false">
      <c r="A16" s="4" t="s">
        <v>14</v>
      </c>
    </row>
    <row r="17" customFormat="false" ht="15" hidden="false" customHeight="false" outlineLevel="0" collapsed="false">
      <c r="A17" s="2"/>
    </row>
    <row r="18" customFormat="false" ht="15" hidden="false" customHeight="false" outlineLevel="0" collapsed="false">
      <c r="A18" s="3" t="s">
        <v>15</v>
      </c>
    </row>
    <row r="19" customFormat="false" ht="23.85" hidden="false" customHeight="false" outlineLevel="0" collapsed="false">
      <c r="A19" s="4" t="s">
        <v>16</v>
      </c>
    </row>
    <row r="20" customFormat="false" ht="15" hidden="false" customHeight="false" outlineLevel="0" collapsed="false">
      <c r="A20" s="4" t="s">
        <v>17</v>
      </c>
    </row>
    <row r="21" customFormat="false" ht="23.85" hidden="false" customHeight="false" outlineLevel="0" collapsed="false">
      <c r="A21" s="4" t="s">
        <v>18</v>
      </c>
    </row>
    <row r="22" customFormat="false" ht="15" hidden="false" customHeight="false" outlineLevel="0" collapsed="false">
      <c r="A22" s="4" t="s">
        <v>19</v>
      </c>
    </row>
    <row r="23" customFormat="false" ht="32.8" hidden="false" customHeight="false" outlineLevel="0" collapsed="false">
      <c r="A23" s="5"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s>
  <sheetData>
    <row r="1" customFormat="false" ht="15" hidden="false" customHeight="false" outlineLevel="0" collapsed="false">
      <c r="A1" s="6" t="s">
        <v>21</v>
      </c>
    </row>
    <row r="3" customFormat="false" ht="15" hidden="false" customHeight="false" outlineLevel="0" collapsed="false">
      <c r="A3" s="7" t="s">
        <v>22</v>
      </c>
      <c r="B3" s="7" t="s">
        <v>23</v>
      </c>
      <c r="C3" s="7" t="s">
        <v>24</v>
      </c>
      <c r="D3" s="7" t="s">
        <v>25</v>
      </c>
    </row>
    <row r="4" customFormat="false" ht="15" hidden="false" customHeight="false" outlineLevel="0" collapsed="false">
      <c r="A4" s="8" t="n">
        <v>1860</v>
      </c>
      <c r="B4" s="8" t="n">
        <f aca="false">COUNTIFS(Lines!$H$2:$H$66,"&gt;="&amp;A4,Lines!$H$2:$H$66,"&lt;"&amp;A4+10)</f>
        <v>5</v>
      </c>
      <c r="C4" s="8" t="n">
        <f aca="false">COUNTIFS(Lines!$N$2:$N$66,"&gt;="&amp;A4,Lines!$N$2:$N$66,"&lt;"&amp;A4+10)</f>
        <v>0</v>
      </c>
      <c r="D4" s="8" t="n">
        <f aca="false">B4-C4</f>
        <v>5</v>
      </c>
    </row>
    <row r="5" customFormat="false" ht="15" hidden="false" customHeight="false" outlineLevel="0" collapsed="false">
      <c r="A5" s="8" t="n">
        <v>1870</v>
      </c>
      <c r="B5" s="8" t="n">
        <f aca="false">COUNTIFS(Lines!$H$2:$H$66,"&gt;="&amp;A5,Lines!$H$2:$H$66,"&lt;"&amp;A5+10)</f>
        <v>11</v>
      </c>
      <c r="C5" s="8" t="n">
        <f aca="false">COUNTIFS(Lines!$N$2:$N$66,"&gt;="&amp;A5,Lines!$N$2:$N$66,"&lt;"&amp;A5+10)</f>
        <v>0</v>
      </c>
      <c r="D5" s="8" t="n">
        <f aca="false">B5-C5</f>
        <v>11</v>
      </c>
    </row>
    <row r="6" customFormat="false" ht="15" hidden="false" customHeight="false" outlineLevel="0" collapsed="false">
      <c r="A6" s="8" t="n">
        <v>1880</v>
      </c>
      <c r="B6" s="8" t="n">
        <f aca="false">COUNTIFS(Lines!$H$2:$H$66,"&gt;="&amp;A6,Lines!$H$2:$H$66,"&lt;"&amp;A6+10)</f>
        <v>3</v>
      </c>
      <c r="C6" s="8" t="n">
        <f aca="false">COUNTIFS(Lines!$N$2:$N$66,"&gt;="&amp;A6,Lines!$N$2:$N$66,"&lt;"&amp;A6+10)</f>
        <v>0</v>
      </c>
      <c r="D6" s="8" t="n">
        <f aca="false">B6-C6</f>
        <v>3</v>
      </c>
    </row>
    <row r="7" customFormat="false" ht="15" hidden="false" customHeight="false" outlineLevel="0" collapsed="false">
      <c r="A7" s="8" t="n">
        <v>1890</v>
      </c>
      <c r="B7" s="8" t="n">
        <f aca="false">COUNTIFS(Lines!$H$2:$H$66,"&gt;="&amp;A7,Lines!$H$2:$H$66,"&lt;"&amp;A7+10)</f>
        <v>24</v>
      </c>
      <c r="C7" s="8" t="n">
        <f aca="false">COUNTIFS(Lines!$N$2:$N$66,"&gt;="&amp;A7,Lines!$N$2:$N$66,"&lt;"&amp;A7+10)</f>
        <v>2</v>
      </c>
      <c r="D7" s="8" t="n">
        <f aca="false">B7-C7</f>
        <v>22</v>
      </c>
    </row>
    <row r="8" customFormat="false" ht="15" hidden="false" customHeight="false" outlineLevel="0" collapsed="false">
      <c r="A8" s="8" t="n">
        <v>1900</v>
      </c>
      <c r="B8" s="8" t="n">
        <f aca="false">COUNTIFS(Lines!$H$2:$H$66,"&gt;="&amp;A8,Lines!$H$2:$H$66,"&lt;"&amp;A8+10)</f>
        <v>12</v>
      </c>
      <c r="C8" s="8" t="n">
        <f aca="false">COUNTIFS(Lines!$N$2:$N$66,"&gt;="&amp;A8,Lines!$N$2:$N$66,"&lt;"&amp;A8+10)</f>
        <v>1</v>
      </c>
      <c r="D8" s="8" t="n">
        <f aca="false">B8-C8</f>
        <v>11</v>
      </c>
    </row>
    <row r="9" customFormat="false" ht="15" hidden="false" customHeight="false" outlineLevel="0" collapsed="false">
      <c r="A9" s="8" t="n">
        <v>1910</v>
      </c>
      <c r="B9" s="8" t="n">
        <f aca="false">COUNTIFS(Lines!$H$2:$H$66,"&gt;="&amp;A9,Lines!$H$2:$H$66,"&lt;"&amp;A9+10)</f>
        <v>5</v>
      </c>
      <c r="C9" s="8" t="n">
        <f aca="false">COUNTIFS(Lines!$N$2:$N$66,"&gt;="&amp;A9,Lines!$N$2:$N$66,"&lt;"&amp;A9+10)</f>
        <v>0</v>
      </c>
      <c r="D9" s="8" t="n">
        <f aca="false">B9-C9</f>
        <v>5</v>
      </c>
    </row>
    <row r="10" customFormat="false" ht="15" hidden="false" customHeight="false" outlineLevel="0" collapsed="false">
      <c r="A10" s="8" t="n">
        <v>1920</v>
      </c>
      <c r="B10" s="8" t="n">
        <f aca="false">COUNTIFS(Lines!$H$2:$H$66,"&gt;="&amp;A10,Lines!$H$2:$H$66,"&lt;"&amp;A10+10)</f>
        <v>1</v>
      </c>
      <c r="C10" s="8" t="n">
        <f aca="false">COUNTIFS(Lines!$N$2:$N$66,"&gt;="&amp;A10,Lines!$N$2:$N$66,"&lt;"&amp;A10+10)</f>
        <v>10</v>
      </c>
      <c r="D10" s="8" t="n">
        <f aca="false">B10-C10</f>
        <v>-9</v>
      </c>
    </row>
    <row r="11" customFormat="false" ht="15" hidden="false" customHeight="false" outlineLevel="0" collapsed="false">
      <c r="A11" s="8" t="n">
        <v>1930</v>
      </c>
      <c r="B11" s="8" t="n">
        <f aca="false">COUNTIFS(Lines!$H$2:$H$66,"&gt;="&amp;A11,Lines!$H$2:$H$66,"&lt;"&amp;A11+10)</f>
        <v>1</v>
      </c>
      <c r="C11" s="8" t="n">
        <f aca="false">COUNTIFS(Lines!$N$2:$N$66,"&gt;="&amp;A11,Lines!$N$2:$N$66,"&lt;"&amp;A11+10)</f>
        <v>14</v>
      </c>
      <c r="D11" s="8" t="n">
        <f aca="false">B11-C11</f>
        <v>-13</v>
      </c>
    </row>
    <row r="12" customFormat="false" ht="15" hidden="false" customHeight="false" outlineLevel="0" collapsed="false">
      <c r="A12" s="8" t="n">
        <v>1940</v>
      </c>
      <c r="B12" s="8" t="n">
        <f aca="false">COUNTIFS(Lines!$H$2:$H$66,"&gt;="&amp;A12,Lines!$H$2:$H$66,"&lt;"&amp;A12+10)</f>
        <v>0</v>
      </c>
      <c r="C12" s="8" t="n">
        <f aca="false">COUNTIFS(Lines!$N$2:$N$66,"&gt;="&amp;A12,Lines!$N$2:$N$66,"&lt;"&amp;A12+10)</f>
        <v>5</v>
      </c>
      <c r="D12" s="8" t="n">
        <f aca="false">B12-C12</f>
        <v>-5</v>
      </c>
    </row>
    <row r="13" customFormat="false" ht="15" hidden="false" customHeight="false" outlineLevel="0" collapsed="false">
      <c r="A13" s="8" t="n">
        <v>1950</v>
      </c>
      <c r="B13" s="8" t="n">
        <f aca="false">COUNTIFS(Lines!$H$2:$H$66,"&gt;="&amp;A13,Lines!$H$2:$H$66,"&lt;"&amp;A13+10)</f>
        <v>0</v>
      </c>
      <c r="C13" s="8" t="n">
        <f aca="false">COUNTIFS(Lines!$N$2:$N$66,"&gt;="&amp;A13,Lines!$N$2:$N$66,"&lt;"&amp;A13+10)</f>
        <v>4</v>
      </c>
      <c r="D13" s="8" t="n">
        <f aca="false">B13-C13</f>
        <v>-4</v>
      </c>
    </row>
    <row r="14" customFormat="false" ht="15" hidden="false" customHeight="false" outlineLevel="0" collapsed="false">
      <c r="A14" s="8" t="n">
        <v>1960</v>
      </c>
      <c r="B14" s="8" t="n">
        <f aca="false">COUNTIFS(Lines!$H$2:$H$66,"&gt;="&amp;A14,Lines!$H$2:$H$66,"&lt;"&amp;A14+10)</f>
        <v>0</v>
      </c>
      <c r="C14" s="8" t="n">
        <f aca="false">COUNTIFS(Lines!$N$2:$N$66,"&gt;="&amp;A14,Lines!$N$2:$N$66,"&lt;"&amp;A14+10)</f>
        <v>21</v>
      </c>
      <c r="D14" s="8" t="n">
        <f aca="false">B14-C14</f>
        <v>-21</v>
      </c>
    </row>
    <row r="15" customFormat="false" ht="15" hidden="false" customHeight="false" outlineLevel="0" collapsed="false">
      <c r="A15" s="9" t="s">
        <v>26</v>
      </c>
      <c r="B15" s="9" t="n">
        <f aca="false">SUM(B4:B14)</f>
        <v>62</v>
      </c>
      <c r="C15" s="9" t="n">
        <f aca="false">SUM(C4:C14)</f>
        <v>57</v>
      </c>
      <c r="D15" s="9" t="n">
        <f aca="false">B15-C15</f>
        <v>5</v>
      </c>
    </row>
    <row r="16" customFormat="false" ht="15" hidden="false" customHeight="false" outlineLevel="0" collapsed="false">
      <c r="A16" s="8"/>
      <c r="B16" s="8"/>
      <c r="C16" s="8"/>
      <c r="D16" s="8"/>
    </row>
    <row r="17" customFormat="false" ht="15" hidden="false" customHeight="false" outlineLevel="0" collapsed="false">
      <c r="A17" s="8" t="s">
        <v>27</v>
      </c>
      <c r="B17" s="8"/>
      <c r="C17" s="8" t="n">
        <f aca="false">COUNTA(Lines!$A$2:$A$66)-COUNT(Lines!$N$2:$N$66)</f>
        <v>8</v>
      </c>
      <c r="D17" s="8"/>
    </row>
    <row r="18" customFormat="false" ht="15" hidden="false" customHeight="false" outlineLevel="0" collapsed="false">
      <c r="A18" s="8" t="s">
        <v>28</v>
      </c>
      <c r="B18" s="8"/>
      <c r="C18" s="8" t="n">
        <f aca="false">COUNTA(Lines!$A$2:$A$66)</f>
        <v>65</v>
      </c>
      <c r="D18" s="8"/>
    </row>
    <row r="20" customFormat="false" ht="15" hidden="false" customHeight="false" outlineLevel="0" collapsed="false">
      <c r="A20" s="10"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55"/>
    <col collapsed="false" customWidth="true" hidden="false" outlineLevel="0" max="4" min="4" style="0" width="10"/>
    <col collapsed="false" customWidth="true" hidden="false" outlineLevel="0" max="5" min="5" style="0" width="28"/>
    <col collapsed="false" customWidth="true" hidden="false" outlineLevel="0" max="6" min="6" style="0" width="30"/>
    <col collapsed="false" customWidth="true" hidden="false" outlineLevel="0" max="7" min="7" style="0" width="34"/>
    <col collapsed="false" customWidth="true" hidden="false" outlineLevel="0" max="8" min="8" style="0" width="11"/>
    <col collapsed="false" customWidth="true" hidden="false" outlineLevel="0" max="10" min="9" style="0" width="9"/>
    <col collapsed="false" customWidth="true" hidden="false" outlineLevel="0" max="11" min="11" style="0" width="10"/>
    <col collapsed="false" customWidth="true" hidden="false" outlineLevel="0" max="12" min="12" style="0" width="24"/>
    <col collapsed="false" customWidth="true" hidden="false" outlineLevel="0" max="13" min="13" style="0" width="28"/>
    <col collapsed="false" customWidth="true" hidden="false" outlineLevel="0" max="14" min="14" style="0" width="10"/>
    <col collapsed="false" customWidth="true" hidden="false" outlineLevel="0" max="15" min="15" style="0" width="18"/>
    <col collapsed="false" customWidth="true" hidden="false" outlineLevel="0" max="16" min="16" style="0" width="40"/>
    <col collapsed="false" customWidth="true" hidden="false" outlineLevel="0" max="17" min="17" style="0" width="16"/>
    <col collapsed="false" customWidth="true" hidden="false" outlineLevel="0" max="19" min="18" style="0" width="10"/>
    <col collapsed="false" customWidth="true" hidden="false" outlineLevel="0" max="20" min="20" style="0" width="22"/>
    <col collapsed="false" customWidth="true" hidden="false" outlineLevel="0" max="21" min="21" style="0" width="46"/>
  </cols>
  <sheetData>
    <row r="1" customFormat="false" ht="46.25" hidden="false" customHeight="false" outlineLevel="0" collapsed="false">
      <c r="A1" s="11" t="s">
        <v>30</v>
      </c>
      <c r="B1" s="11" t="s">
        <v>31</v>
      </c>
      <c r="C1" s="11" t="s">
        <v>32</v>
      </c>
      <c r="D1" s="11" t="s">
        <v>33</v>
      </c>
      <c r="E1" s="11" t="s">
        <v>34</v>
      </c>
      <c r="F1" s="11" t="s">
        <v>35</v>
      </c>
      <c r="G1" s="11" t="s">
        <v>36</v>
      </c>
      <c r="H1" s="11" t="s">
        <v>37</v>
      </c>
      <c r="I1" s="11" t="s">
        <v>38</v>
      </c>
      <c r="J1" s="11" t="s">
        <v>39</v>
      </c>
      <c r="K1" s="11" t="s">
        <v>40</v>
      </c>
      <c r="L1" s="11" t="s">
        <v>41</v>
      </c>
      <c r="M1" s="11" t="s">
        <v>42</v>
      </c>
      <c r="N1" s="11" t="s">
        <v>43</v>
      </c>
      <c r="O1" s="11" t="s">
        <v>44</v>
      </c>
      <c r="P1" s="11" t="s">
        <v>45</v>
      </c>
      <c r="Q1" s="11" t="s">
        <v>46</v>
      </c>
      <c r="R1" s="11" t="s">
        <v>47</v>
      </c>
      <c r="S1" s="11" t="s">
        <v>48</v>
      </c>
      <c r="T1" s="11" t="s">
        <v>49</v>
      </c>
      <c r="U1" s="11" t="s">
        <v>50</v>
      </c>
    </row>
    <row r="2" customFormat="false" ht="404.45" hidden="false" customHeight="false" outlineLevel="0" collapsed="false">
      <c r="A2" s="4" t="s">
        <v>51</v>
      </c>
      <c r="B2" s="4" t="s">
        <v>52</v>
      </c>
      <c r="C2" s="4" t="s">
        <v>53</v>
      </c>
      <c r="D2" s="4" t="s">
        <v>54</v>
      </c>
      <c r="E2" s="4" t="s">
        <v>55</v>
      </c>
      <c r="F2" s="4" t="s">
        <v>56</v>
      </c>
      <c r="G2" s="4" t="s">
        <v>57</v>
      </c>
      <c r="H2" s="4" t="n">
        <v>1862</v>
      </c>
      <c r="I2" s="4" t="s">
        <v>58</v>
      </c>
      <c r="J2" s="4" t="s">
        <v>59</v>
      </c>
      <c r="K2" s="4" t="s">
        <v>60</v>
      </c>
      <c r="L2" s="4" t="s">
        <v>61</v>
      </c>
      <c r="M2" s="4" t="s">
        <v>62</v>
      </c>
      <c r="N2" s="4" t="n">
        <v>1962</v>
      </c>
      <c r="O2" s="4" t="s">
        <v>63</v>
      </c>
      <c r="P2" s="4" t="s">
        <v>64</v>
      </c>
      <c r="Q2" s="4" t="s">
        <v>65</v>
      </c>
      <c r="R2" s="4" t="n">
        <v>11.73</v>
      </c>
      <c r="S2" s="4" t="n">
        <v>2.74</v>
      </c>
      <c r="T2" s="4" t="s">
        <v>66</v>
      </c>
      <c r="U2" s="4" t="s">
        <v>67</v>
      </c>
    </row>
    <row r="3" customFormat="false" ht="326.1" hidden="false" customHeight="false" outlineLevel="0" collapsed="false">
      <c r="A3" s="4" t="s">
        <v>68</v>
      </c>
      <c r="B3" s="4" t="s">
        <v>69</v>
      </c>
      <c r="C3" s="4" t="s">
        <v>70</v>
      </c>
      <c r="D3" s="4" t="s">
        <v>54</v>
      </c>
      <c r="E3" s="4" t="s">
        <v>55</v>
      </c>
      <c r="F3" s="4" t="s">
        <v>71</v>
      </c>
      <c r="G3" s="4" t="s">
        <v>72</v>
      </c>
      <c r="H3" s="4" t="n">
        <v>1862</v>
      </c>
      <c r="I3" s="4" t="s">
        <v>58</v>
      </c>
      <c r="J3" s="4" t="s">
        <v>73</v>
      </c>
      <c r="K3" s="4" t="s">
        <v>60</v>
      </c>
      <c r="L3" s="4" t="s">
        <v>74</v>
      </c>
      <c r="M3" s="4" t="s">
        <v>75</v>
      </c>
      <c r="N3" s="4" t="n">
        <v>1960</v>
      </c>
      <c r="O3" s="4" t="s">
        <v>76</v>
      </c>
      <c r="P3" s="4" t="s">
        <v>77</v>
      </c>
      <c r="Q3" s="4" t="s">
        <v>78</v>
      </c>
      <c r="R3" s="4" t="n">
        <v>7.23</v>
      </c>
      <c r="S3" s="4" t="n">
        <v>1.94</v>
      </c>
      <c r="T3" s="4" t="s">
        <v>79</v>
      </c>
      <c r="U3" s="4" t="s">
        <v>80</v>
      </c>
    </row>
    <row r="4" customFormat="false" ht="326.1" hidden="false" customHeight="false" outlineLevel="0" collapsed="false">
      <c r="A4" s="4" t="s">
        <v>81</v>
      </c>
      <c r="B4" s="4" t="s">
        <v>82</v>
      </c>
      <c r="C4" s="4" t="s">
        <v>83</v>
      </c>
      <c r="D4" s="4" t="s">
        <v>54</v>
      </c>
      <c r="E4" s="4" t="s">
        <v>55</v>
      </c>
      <c r="F4" s="4" t="s">
        <v>71</v>
      </c>
      <c r="G4" s="4" t="s">
        <v>84</v>
      </c>
      <c r="H4" s="4" t="n">
        <v>1862</v>
      </c>
      <c r="I4" s="4" t="s">
        <v>58</v>
      </c>
      <c r="J4" s="4" t="s">
        <v>59</v>
      </c>
      <c r="K4" s="4" t="s">
        <v>60</v>
      </c>
      <c r="L4" s="4" t="s">
        <v>85</v>
      </c>
      <c r="M4" s="4" t="s">
        <v>86</v>
      </c>
      <c r="N4" s="4" t="n">
        <v>1962</v>
      </c>
      <c r="O4" s="4" t="s">
        <v>87</v>
      </c>
      <c r="P4" s="4" t="s">
        <v>88</v>
      </c>
      <c r="Q4" s="4" t="s">
        <v>65</v>
      </c>
      <c r="R4" s="4" t="n">
        <v>6.38</v>
      </c>
      <c r="S4" s="4" t="n">
        <v>0.16</v>
      </c>
      <c r="T4" s="4" t="s">
        <v>89</v>
      </c>
      <c r="U4" s="4" t="s">
        <v>90</v>
      </c>
    </row>
    <row r="5" customFormat="false" ht="225.35" hidden="false" customHeight="false" outlineLevel="0" collapsed="false">
      <c r="A5" s="4" t="s">
        <v>91</v>
      </c>
      <c r="B5" s="4" t="s">
        <v>92</v>
      </c>
      <c r="C5" s="4" t="s">
        <v>93</v>
      </c>
      <c r="D5" s="4" t="s">
        <v>54</v>
      </c>
      <c r="E5" s="4" t="s">
        <v>55</v>
      </c>
      <c r="F5" s="4" t="s">
        <v>94</v>
      </c>
      <c r="G5" s="4" t="s">
        <v>95</v>
      </c>
      <c r="H5" s="4" t="n">
        <v>1862</v>
      </c>
      <c r="I5" s="4" t="s">
        <v>58</v>
      </c>
      <c r="J5" s="4" t="s">
        <v>59</v>
      </c>
      <c r="K5" s="4" t="s">
        <v>60</v>
      </c>
      <c r="L5" s="4" t="s">
        <v>96</v>
      </c>
      <c r="M5" s="4" t="s">
        <v>97</v>
      </c>
      <c r="N5" s="4"/>
      <c r="O5" s="4" t="s">
        <v>96</v>
      </c>
      <c r="P5" s="4" t="s">
        <v>98</v>
      </c>
      <c r="Q5" s="4" t="s">
        <v>99</v>
      </c>
      <c r="R5" s="4" t="n">
        <v>0.42</v>
      </c>
      <c r="S5" s="4" t="n">
        <v>0.4</v>
      </c>
      <c r="T5" s="4" t="s">
        <v>100</v>
      </c>
      <c r="U5" s="4" t="s">
        <v>101</v>
      </c>
    </row>
    <row r="6" customFormat="false" ht="281.3" hidden="false" customHeight="false" outlineLevel="0" collapsed="false">
      <c r="A6" s="4" t="s">
        <v>102</v>
      </c>
      <c r="B6" s="4" t="s">
        <v>103</v>
      </c>
      <c r="C6" s="4" t="s">
        <v>104</v>
      </c>
      <c r="D6" s="4" t="s">
        <v>54</v>
      </c>
      <c r="E6" s="4" t="s">
        <v>105</v>
      </c>
      <c r="F6" s="4" t="s">
        <v>106</v>
      </c>
      <c r="G6" s="4" t="s">
        <v>107</v>
      </c>
      <c r="H6" s="4" t="n">
        <v>1865</v>
      </c>
      <c r="I6" s="4" t="s">
        <v>108</v>
      </c>
      <c r="J6" s="4" t="s">
        <v>96</v>
      </c>
      <c r="K6" s="4" t="s">
        <v>109</v>
      </c>
      <c r="L6" s="4" t="s">
        <v>110</v>
      </c>
      <c r="M6" s="4" t="s">
        <v>111</v>
      </c>
      <c r="N6" s="4" t="n">
        <v>1961</v>
      </c>
      <c r="O6" s="4" t="s">
        <v>112</v>
      </c>
      <c r="P6" s="4" t="s">
        <v>113</v>
      </c>
      <c r="Q6" s="4" t="s">
        <v>65</v>
      </c>
      <c r="R6" s="4" t="n">
        <v>5.29</v>
      </c>
      <c r="S6" s="4" t="n">
        <v>0.16</v>
      </c>
      <c r="T6" s="4" t="s">
        <v>51</v>
      </c>
      <c r="U6" s="4" t="s">
        <v>114</v>
      </c>
    </row>
    <row r="7" customFormat="false" ht="225.35" hidden="false" customHeight="false" outlineLevel="0" collapsed="false">
      <c r="A7" s="4" t="s">
        <v>115</v>
      </c>
      <c r="B7" s="4" t="s">
        <v>116</v>
      </c>
      <c r="C7" s="4" t="s">
        <v>117</v>
      </c>
      <c r="D7" s="4" t="s">
        <v>54</v>
      </c>
      <c r="E7" s="4" t="s">
        <v>105</v>
      </c>
      <c r="F7" s="4" t="s">
        <v>118</v>
      </c>
      <c r="G7" s="4" t="s">
        <v>119</v>
      </c>
      <c r="H7" s="4" t="n">
        <v>1872</v>
      </c>
      <c r="I7" s="4" t="s">
        <v>120</v>
      </c>
      <c r="J7" s="4" t="s">
        <v>96</v>
      </c>
      <c r="K7" s="4" t="s">
        <v>121</v>
      </c>
      <c r="L7" s="4" t="s">
        <v>96</v>
      </c>
      <c r="M7" s="4" t="s">
        <v>122</v>
      </c>
      <c r="N7" s="4" t="n">
        <v>1933</v>
      </c>
      <c r="O7" s="4" t="s">
        <v>123</v>
      </c>
      <c r="P7" s="4" t="s">
        <v>124</v>
      </c>
      <c r="Q7" s="4" t="s">
        <v>125</v>
      </c>
      <c r="R7" s="4" t="n">
        <v>4.01</v>
      </c>
      <c r="S7" s="4" t="n">
        <v>0.15</v>
      </c>
      <c r="T7" s="4" t="s">
        <v>126</v>
      </c>
      <c r="U7" s="4" t="s">
        <v>127</v>
      </c>
    </row>
    <row r="8" customFormat="false" ht="214.15" hidden="false" customHeight="false" outlineLevel="0" collapsed="false">
      <c r="A8" s="4" t="s">
        <v>128</v>
      </c>
      <c r="B8" s="4" t="s">
        <v>129</v>
      </c>
      <c r="C8" s="4" t="s">
        <v>130</v>
      </c>
      <c r="D8" s="4" t="s">
        <v>54</v>
      </c>
      <c r="E8" s="4" t="s">
        <v>131</v>
      </c>
      <c r="F8" s="4" t="s">
        <v>132</v>
      </c>
      <c r="G8" s="4" t="s">
        <v>133</v>
      </c>
      <c r="H8" s="4" t="n">
        <v>1873</v>
      </c>
      <c r="I8" s="4" t="s">
        <v>134</v>
      </c>
      <c r="J8" s="4" t="s">
        <v>96</v>
      </c>
      <c r="K8" s="4" t="s">
        <v>109</v>
      </c>
      <c r="L8" s="4" t="s">
        <v>135</v>
      </c>
      <c r="M8" s="4" t="s">
        <v>136</v>
      </c>
      <c r="N8" s="4" t="n">
        <v>1935</v>
      </c>
      <c r="O8" s="4" t="s">
        <v>137</v>
      </c>
      <c r="P8" s="4" t="s">
        <v>138</v>
      </c>
      <c r="Q8" s="4" t="s">
        <v>65</v>
      </c>
      <c r="R8" s="4" t="n">
        <v>4.57</v>
      </c>
      <c r="S8" s="4" t="n">
        <v>1.74</v>
      </c>
      <c r="T8" s="4" t="s">
        <v>139</v>
      </c>
      <c r="U8" s="4" t="s">
        <v>140</v>
      </c>
    </row>
    <row r="9" customFormat="false" ht="214.15" hidden="false" customHeight="false" outlineLevel="0" collapsed="false">
      <c r="A9" s="4" t="s">
        <v>141</v>
      </c>
      <c r="B9" s="4" t="s">
        <v>142</v>
      </c>
      <c r="C9" s="4" t="s">
        <v>143</v>
      </c>
      <c r="D9" s="4" t="s">
        <v>54</v>
      </c>
      <c r="E9" s="4" t="s">
        <v>105</v>
      </c>
      <c r="F9" s="4" t="s">
        <v>132</v>
      </c>
      <c r="G9" s="4" t="s">
        <v>144</v>
      </c>
      <c r="H9" s="4" t="n">
        <v>1872</v>
      </c>
      <c r="I9" s="4" t="s">
        <v>120</v>
      </c>
      <c r="J9" s="4" t="s">
        <v>96</v>
      </c>
      <c r="K9" s="4" t="s">
        <v>121</v>
      </c>
      <c r="L9" s="4" t="s">
        <v>145</v>
      </c>
      <c r="M9" s="4" t="s">
        <v>146</v>
      </c>
      <c r="N9" s="4" t="n">
        <v>1935</v>
      </c>
      <c r="O9" s="4" t="s">
        <v>147</v>
      </c>
      <c r="P9" s="4" t="s">
        <v>148</v>
      </c>
      <c r="Q9" s="4" t="s">
        <v>149</v>
      </c>
      <c r="R9" s="4" t="n">
        <v>2.72</v>
      </c>
      <c r="S9" s="4" t="n">
        <v>2.04</v>
      </c>
      <c r="T9" s="4" t="s">
        <v>150</v>
      </c>
      <c r="U9" s="4" t="s">
        <v>151</v>
      </c>
    </row>
    <row r="10" customFormat="false" ht="258.95" hidden="false" customHeight="false" outlineLevel="0" collapsed="false">
      <c r="A10" s="4" t="s">
        <v>152</v>
      </c>
      <c r="B10" s="4" t="s">
        <v>153</v>
      </c>
      <c r="C10" s="4" t="s">
        <v>154</v>
      </c>
      <c r="D10" s="4" t="s">
        <v>54</v>
      </c>
      <c r="E10" s="4" t="s">
        <v>105</v>
      </c>
      <c r="F10" s="4" t="s">
        <v>155</v>
      </c>
      <c r="G10" s="4" t="s">
        <v>107</v>
      </c>
      <c r="H10" s="4" t="n">
        <v>1872</v>
      </c>
      <c r="I10" s="4" t="s">
        <v>120</v>
      </c>
      <c r="J10" s="4" t="s">
        <v>96</v>
      </c>
      <c r="K10" s="4" t="s">
        <v>109</v>
      </c>
      <c r="L10" s="4" t="s">
        <v>156</v>
      </c>
      <c r="M10" s="4" t="s">
        <v>157</v>
      </c>
      <c r="N10" s="4" t="n">
        <v>1962</v>
      </c>
      <c r="O10" s="4" t="s">
        <v>158</v>
      </c>
      <c r="P10" s="4" t="s">
        <v>159</v>
      </c>
      <c r="Q10" s="4" t="s">
        <v>65</v>
      </c>
      <c r="R10" s="4" t="n">
        <v>3.65</v>
      </c>
      <c r="S10" s="4" t="n">
        <v>0.5</v>
      </c>
      <c r="T10" s="4" t="s">
        <v>160</v>
      </c>
      <c r="U10" s="4" t="s">
        <v>161</v>
      </c>
    </row>
    <row r="11" customFormat="false" ht="292.5" hidden="false" customHeight="false" outlineLevel="0" collapsed="false">
      <c r="A11" s="4" t="s">
        <v>162</v>
      </c>
      <c r="B11" s="4" t="s">
        <v>163</v>
      </c>
      <c r="C11" s="4" t="s">
        <v>164</v>
      </c>
      <c r="D11" s="4" t="s">
        <v>54</v>
      </c>
      <c r="E11" s="4" t="s">
        <v>165</v>
      </c>
      <c r="F11" s="4" t="s">
        <v>166</v>
      </c>
      <c r="G11" s="4" t="s">
        <v>167</v>
      </c>
      <c r="H11" s="4" t="n">
        <v>1873</v>
      </c>
      <c r="I11" s="4" t="s">
        <v>134</v>
      </c>
      <c r="J11" s="4" t="s">
        <v>96</v>
      </c>
      <c r="K11" s="4" t="s">
        <v>109</v>
      </c>
      <c r="L11" s="4" t="s">
        <v>168</v>
      </c>
      <c r="M11" s="4" t="s">
        <v>111</v>
      </c>
      <c r="N11" s="4" t="n">
        <v>1961</v>
      </c>
      <c r="O11" s="4" t="s">
        <v>169</v>
      </c>
      <c r="P11" s="4" t="s">
        <v>170</v>
      </c>
      <c r="Q11" s="4" t="s">
        <v>171</v>
      </c>
      <c r="R11" s="4" t="n">
        <v>1.91</v>
      </c>
      <c r="S11" s="4" t="n">
        <v>0</v>
      </c>
      <c r="T11" s="4" t="s">
        <v>96</v>
      </c>
      <c r="U11" s="4" t="s">
        <v>172</v>
      </c>
    </row>
    <row r="12" customFormat="false" ht="236.55" hidden="false" customHeight="false" outlineLevel="0" collapsed="false">
      <c r="A12" s="4" t="s">
        <v>173</v>
      </c>
      <c r="B12" s="4" t="s">
        <v>174</v>
      </c>
      <c r="C12" s="4" t="s">
        <v>175</v>
      </c>
      <c r="D12" s="4" t="s">
        <v>54</v>
      </c>
      <c r="E12" s="4" t="s">
        <v>105</v>
      </c>
      <c r="F12" s="4" t="s">
        <v>155</v>
      </c>
      <c r="G12" s="4" t="s">
        <v>176</v>
      </c>
      <c r="H12" s="4" t="n">
        <v>1900</v>
      </c>
      <c r="I12" s="4" t="s">
        <v>96</v>
      </c>
      <c r="J12" s="4" t="s">
        <v>96</v>
      </c>
      <c r="K12" s="4" t="s">
        <v>177</v>
      </c>
      <c r="L12" s="4" t="s">
        <v>178</v>
      </c>
      <c r="M12" s="4" t="s">
        <v>111</v>
      </c>
      <c r="N12" s="4" t="n">
        <v>1961</v>
      </c>
      <c r="O12" s="4" t="s">
        <v>179</v>
      </c>
      <c r="P12" s="4" t="s">
        <v>180</v>
      </c>
      <c r="Q12" s="4" t="s">
        <v>181</v>
      </c>
      <c r="R12" s="4" t="n">
        <v>2.39</v>
      </c>
      <c r="S12" s="4" t="n">
        <v>0</v>
      </c>
      <c r="T12" s="4" t="s">
        <v>96</v>
      </c>
      <c r="U12" s="4" t="s">
        <v>182</v>
      </c>
    </row>
    <row r="13" customFormat="false" ht="303.7" hidden="false" customHeight="false" outlineLevel="0" collapsed="false">
      <c r="A13" s="4" t="s">
        <v>183</v>
      </c>
      <c r="B13" s="4" t="s">
        <v>184</v>
      </c>
      <c r="C13" s="4" t="s">
        <v>185</v>
      </c>
      <c r="D13" s="4" t="s">
        <v>54</v>
      </c>
      <c r="E13" s="4" t="s">
        <v>186</v>
      </c>
      <c r="F13" s="4" t="s">
        <v>187</v>
      </c>
      <c r="G13" s="4" t="s">
        <v>188</v>
      </c>
      <c r="H13" s="4" t="n">
        <v>1873</v>
      </c>
      <c r="I13" s="4" t="s">
        <v>134</v>
      </c>
      <c r="J13" s="4" t="s">
        <v>96</v>
      </c>
      <c r="K13" s="4" t="s">
        <v>73</v>
      </c>
      <c r="L13" s="4" t="s">
        <v>189</v>
      </c>
      <c r="M13" s="4" t="s">
        <v>75</v>
      </c>
      <c r="N13" s="4" t="n">
        <v>1960</v>
      </c>
      <c r="O13" s="4" t="s">
        <v>190</v>
      </c>
      <c r="P13" s="4" t="s">
        <v>191</v>
      </c>
      <c r="Q13" s="4" t="s">
        <v>65</v>
      </c>
      <c r="R13" s="4" t="n">
        <v>7.61</v>
      </c>
      <c r="S13" s="4" t="n">
        <v>0.06</v>
      </c>
      <c r="T13" s="4" t="s">
        <v>192</v>
      </c>
      <c r="U13" s="4" t="s">
        <v>193</v>
      </c>
    </row>
    <row r="14" customFormat="false" ht="236.55" hidden="false" customHeight="false" outlineLevel="0" collapsed="false">
      <c r="A14" s="4" t="s">
        <v>194</v>
      </c>
      <c r="B14" s="4" t="s">
        <v>195</v>
      </c>
      <c r="C14" s="4" t="s">
        <v>196</v>
      </c>
      <c r="D14" s="4" t="s">
        <v>54</v>
      </c>
      <c r="E14" s="4" t="s">
        <v>197</v>
      </c>
      <c r="F14" s="4" t="s">
        <v>155</v>
      </c>
      <c r="G14" s="4" t="s">
        <v>176</v>
      </c>
      <c r="H14" s="4" t="n">
        <v>1893</v>
      </c>
      <c r="I14" s="4" t="s">
        <v>96</v>
      </c>
      <c r="J14" s="4" t="s">
        <v>96</v>
      </c>
      <c r="K14" s="4" t="s">
        <v>59</v>
      </c>
      <c r="L14" s="4" t="s">
        <v>198</v>
      </c>
      <c r="M14" s="4" t="s">
        <v>75</v>
      </c>
      <c r="N14" s="4" t="n">
        <v>1960</v>
      </c>
      <c r="O14" s="4" t="s">
        <v>199</v>
      </c>
      <c r="P14" s="4"/>
      <c r="Q14" s="4" t="s">
        <v>149</v>
      </c>
      <c r="R14" s="4" t="n">
        <v>0.77</v>
      </c>
      <c r="S14" s="4" t="n">
        <v>0</v>
      </c>
      <c r="T14" s="4" t="s">
        <v>96</v>
      </c>
      <c r="U14" s="4" t="s">
        <v>200</v>
      </c>
    </row>
    <row r="15" customFormat="false" ht="236.55" hidden="false" customHeight="false" outlineLevel="0" collapsed="false">
      <c r="A15" s="4" t="s">
        <v>201</v>
      </c>
      <c r="B15" s="4" t="s">
        <v>202</v>
      </c>
      <c r="C15" s="4" t="s">
        <v>203</v>
      </c>
      <c r="D15" s="4" t="s">
        <v>54</v>
      </c>
      <c r="E15" s="4" t="s">
        <v>204</v>
      </c>
      <c r="F15" s="4" t="s">
        <v>155</v>
      </c>
      <c r="G15" s="4" t="s">
        <v>176</v>
      </c>
      <c r="H15" s="4" t="n">
        <v>1893</v>
      </c>
      <c r="I15" s="4" t="s">
        <v>96</v>
      </c>
      <c r="J15" s="4" t="s">
        <v>96</v>
      </c>
      <c r="K15" s="4" t="s">
        <v>205</v>
      </c>
      <c r="L15" s="4" t="s">
        <v>206</v>
      </c>
      <c r="M15" s="4" t="s">
        <v>75</v>
      </c>
      <c r="N15" s="4" t="n">
        <v>1960</v>
      </c>
      <c r="O15" s="4" t="s">
        <v>207</v>
      </c>
      <c r="P15" s="4" t="s">
        <v>208</v>
      </c>
      <c r="Q15" s="4" t="s">
        <v>209</v>
      </c>
      <c r="R15" s="4" t="n">
        <v>1.06</v>
      </c>
      <c r="S15" s="4" t="n">
        <v>0</v>
      </c>
      <c r="T15" s="4" t="s">
        <v>96</v>
      </c>
      <c r="U15" s="4" t="s">
        <v>210</v>
      </c>
    </row>
    <row r="16" customFormat="false" ht="258.95" hidden="false" customHeight="false" outlineLevel="0" collapsed="false">
      <c r="A16" s="4" t="s">
        <v>89</v>
      </c>
      <c r="B16" s="4" t="s">
        <v>211</v>
      </c>
      <c r="C16" s="4" t="s">
        <v>212</v>
      </c>
      <c r="D16" s="4" t="s">
        <v>54</v>
      </c>
      <c r="E16" s="4" t="s">
        <v>213</v>
      </c>
      <c r="F16" s="4" t="s">
        <v>214</v>
      </c>
      <c r="G16" s="4" t="s">
        <v>215</v>
      </c>
      <c r="H16" s="4" t="n">
        <v>1870</v>
      </c>
      <c r="I16" s="4" t="s">
        <v>216</v>
      </c>
      <c r="J16" s="4" t="s">
        <v>121</v>
      </c>
      <c r="K16" s="4" t="s">
        <v>217</v>
      </c>
      <c r="L16" s="4" t="s">
        <v>218</v>
      </c>
      <c r="M16" s="4" t="s">
        <v>219</v>
      </c>
      <c r="N16" s="4" t="n">
        <v>1949</v>
      </c>
      <c r="O16" s="4" t="s">
        <v>220</v>
      </c>
      <c r="P16" s="4" t="s">
        <v>221</v>
      </c>
      <c r="Q16" s="4" t="s">
        <v>65</v>
      </c>
      <c r="R16" s="4" t="n">
        <v>4.56</v>
      </c>
      <c r="S16" s="4" t="n">
        <v>0.22</v>
      </c>
      <c r="T16" s="4" t="s">
        <v>222</v>
      </c>
      <c r="U16" s="4" t="s">
        <v>223</v>
      </c>
    </row>
    <row r="17" customFormat="false" ht="202.95" hidden="false" customHeight="false" outlineLevel="0" collapsed="false">
      <c r="A17" s="4" t="s">
        <v>224</v>
      </c>
      <c r="B17" s="4" t="s">
        <v>225</v>
      </c>
      <c r="C17" s="4" t="s">
        <v>226</v>
      </c>
      <c r="D17" s="4" t="s">
        <v>54</v>
      </c>
      <c r="E17" s="4" t="s">
        <v>213</v>
      </c>
      <c r="F17" s="4" t="s">
        <v>132</v>
      </c>
      <c r="G17" s="4" t="s">
        <v>176</v>
      </c>
      <c r="H17" s="4" t="n">
        <v>1898</v>
      </c>
      <c r="I17" s="4" t="s">
        <v>96</v>
      </c>
      <c r="J17" s="4" t="s">
        <v>96</v>
      </c>
      <c r="K17" s="4" t="s">
        <v>60</v>
      </c>
      <c r="L17" s="4" t="s">
        <v>227</v>
      </c>
      <c r="M17" s="4" t="s">
        <v>219</v>
      </c>
      <c r="N17" s="4" t="n">
        <v>1949</v>
      </c>
      <c r="O17" s="4" t="s">
        <v>228</v>
      </c>
      <c r="P17" s="4" t="s">
        <v>229</v>
      </c>
      <c r="Q17" s="4" t="s">
        <v>230</v>
      </c>
      <c r="R17" s="4" t="n">
        <v>6.23</v>
      </c>
      <c r="S17" s="4" t="n">
        <v>4.98</v>
      </c>
      <c r="T17" s="4" t="s">
        <v>231</v>
      </c>
      <c r="U17" s="4" t="s">
        <v>232</v>
      </c>
    </row>
    <row r="18" customFormat="false" ht="202.95" hidden="false" customHeight="false" outlineLevel="0" collapsed="false">
      <c r="A18" s="4" t="s">
        <v>233</v>
      </c>
      <c r="B18" s="4" t="s">
        <v>234</v>
      </c>
      <c r="C18" s="4" t="s">
        <v>235</v>
      </c>
      <c r="D18" s="4" t="s">
        <v>236</v>
      </c>
      <c r="E18" s="4" t="s">
        <v>213</v>
      </c>
      <c r="F18" s="4" t="s">
        <v>132</v>
      </c>
      <c r="G18" s="4" t="s">
        <v>176</v>
      </c>
      <c r="H18" s="4" t="n">
        <v>1900</v>
      </c>
      <c r="I18" s="4" t="s">
        <v>96</v>
      </c>
      <c r="J18" s="4" t="s">
        <v>96</v>
      </c>
      <c r="K18" s="4" t="s">
        <v>237</v>
      </c>
      <c r="L18" s="4" t="s">
        <v>238</v>
      </c>
      <c r="M18" s="4" t="s">
        <v>239</v>
      </c>
      <c r="N18" s="4" t="n">
        <v>1949</v>
      </c>
      <c r="O18" s="4" t="s">
        <v>240</v>
      </c>
      <c r="P18" s="4" t="s">
        <v>241</v>
      </c>
      <c r="Q18" s="4" t="s">
        <v>65</v>
      </c>
      <c r="R18" s="4" t="n">
        <v>4.64</v>
      </c>
      <c r="S18" s="4" t="n">
        <v>1.56</v>
      </c>
      <c r="T18" s="4" t="s">
        <v>242</v>
      </c>
      <c r="U18" s="4" t="s">
        <v>243</v>
      </c>
    </row>
    <row r="19" customFormat="false" ht="281.3" hidden="false" customHeight="false" outlineLevel="0" collapsed="false">
      <c r="A19" s="4" t="s">
        <v>244</v>
      </c>
      <c r="B19" s="4" t="s">
        <v>245</v>
      </c>
      <c r="C19" s="4" t="s">
        <v>246</v>
      </c>
      <c r="D19" s="4" t="s">
        <v>54</v>
      </c>
      <c r="E19" s="4" t="s">
        <v>247</v>
      </c>
      <c r="F19" s="4" t="s">
        <v>248</v>
      </c>
      <c r="G19" s="4" t="s">
        <v>249</v>
      </c>
      <c r="H19" s="4" t="n">
        <v>1875</v>
      </c>
      <c r="I19" s="4" t="s">
        <v>250</v>
      </c>
      <c r="J19" s="4" t="s">
        <v>96</v>
      </c>
      <c r="K19" s="4" t="s">
        <v>177</v>
      </c>
      <c r="L19" s="4" t="s">
        <v>251</v>
      </c>
      <c r="M19" s="4" t="s">
        <v>252</v>
      </c>
      <c r="N19" s="4"/>
      <c r="O19" s="4" t="s">
        <v>96</v>
      </c>
      <c r="P19" s="4" t="s">
        <v>253</v>
      </c>
      <c r="Q19" s="4" t="s">
        <v>254</v>
      </c>
      <c r="R19" s="4" t="n">
        <v>12.53</v>
      </c>
      <c r="S19" s="4" t="n">
        <v>2.89</v>
      </c>
      <c r="T19" s="4" t="s">
        <v>255</v>
      </c>
      <c r="U19" s="4" t="s">
        <v>256</v>
      </c>
    </row>
    <row r="20" customFormat="false" ht="292.5" hidden="false" customHeight="false" outlineLevel="0" collapsed="false">
      <c r="A20" s="4" t="s">
        <v>257</v>
      </c>
      <c r="B20" s="4" t="s">
        <v>258</v>
      </c>
      <c r="C20" s="4" t="s">
        <v>259</v>
      </c>
      <c r="D20" s="4" t="s">
        <v>54</v>
      </c>
      <c r="E20" s="4" t="s">
        <v>260</v>
      </c>
      <c r="F20" s="4" t="s">
        <v>261</v>
      </c>
      <c r="G20" s="4" t="s">
        <v>262</v>
      </c>
      <c r="H20" s="4" t="n">
        <v>1875</v>
      </c>
      <c r="I20" s="4" t="s">
        <v>250</v>
      </c>
      <c r="J20" s="4" t="s">
        <v>96</v>
      </c>
      <c r="K20" s="4" t="s">
        <v>177</v>
      </c>
      <c r="L20" s="4" t="s">
        <v>263</v>
      </c>
      <c r="M20" s="4" t="s">
        <v>111</v>
      </c>
      <c r="N20" s="4" t="n">
        <v>1961</v>
      </c>
      <c r="O20" s="4" t="s">
        <v>264</v>
      </c>
      <c r="P20" s="4"/>
      <c r="Q20" s="4" t="s">
        <v>265</v>
      </c>
      <c r="R20" s="4" t="n">
        <v>4.03</v>
      </c>
      <c r="S20" s="4" t="n">
        <v>1.49</v>
      </c>
      <c r="T20" s="4" t="s">
        <v>266</v>
      </c>
      <c r="U20" s="4" t="s">
        <v>267</v>
      </c>
    </row>
    <row r="21" customFormat="false" ht="202.95" hidden="false" customHeight="false" outlineLevel="0" collapsed="false">
      <c r="A21" s="4" t="s">
        <v>268</v>
      </c>
      <c r="B21" s="4" t="s">
        <v>269</v>
      </c>
      <c r="C21" s="4" t="s">
        <v>270</v>
      </c>
      <c r="D21" s="4" t="s">
        <v>54</v>
      </c>
      <c r="E21" s="4" t="s">
        <v>271</v>
      </c>
      <c r="F21" s="4" t="s">
        <v>272</v>
      </c>
      <c r="G21" s="4" t="s">
        <v>273</v>
      </c>
      <c r="H21" s="4" t="n">
        <v>1896</v>
      </c>
      <c r="I21" s="4" t="s">
        <v>96</v>
      </c>
      <c r="J21" s="4" t="s">
        <v>96</v>
      </c>
      <c r="K21" s="4" t="s">
        <v>109</v>
      </c>
      <c r="L21" s="4" t="s">
        <v>274</v>
      </c>
      <c r="M21" s="4" t="s">
        <v>275</v>
      </c>
      <c r="N21" s="4" t="n">
        <v>1935</v>
      </c>
      <c r="O21" s="4" t="s">
        <v>276</v>
      </c>
      <c r="P21" s="4" t="s">
        <v>277</v>
      </c>
      <c r="Q21" s="4" t="s">
        <v>65</v>
      </c>
      <c r="R21" s="4" t="n">
        <v>1.73</v>
      </c>
      <c r="S21" s="4" t="n">
        <v>0.68</v>
      </c>
      <c r="T21" s="4" t="s">
        <v>278</v>
      </c>
      <c r="U21" s="4" t="s">
        <v>279</v>
      </c>
    </row>
    <row r="22" customFormat="false" ht="135.8" hidden="false" customHeight="false" outlineLevel="0" collapsed="false">
      <c r="A22" s="4" t="s">
        <v>278</v>
      </c>
      <c r="B22" s="4" t="s">
        <v>280</v>
      </c>
      <c r="C22" s="4" t="s">
        <v>281</v>
      </c>
      <c r="D22" s="4" t="s">
        <v>54</v>
      </c>
      <c r="E22" s="4" t="s">
        <v>282</v>
      </c>
      <c r="F22" s="4" t="s">
        <v>96</v>
      </c>
      <c r="G22" s="4" t="s">
        <v>283</v>
      </c>
      <c r="H22" s="4" t="n">
        <v>1912</v>
      </c>
      <c r="I22" s="4" t="s">
        <v>96</v>
      </c>
      <c r="J22" s="4" t="s">
        <v>96</v>
      </c>
      <c r="K22" s="4" t="s">
        <v>284</v>
      </c>
      <c r="L22" s="4" t="s">
        <v>96</v>
      </c>
      <c r="M22" s="4" t="s">
        <v>285</v>
      </c>
      <c r="N22" s="4" t="n">
        <v>1923</v>
      </c>
      <c r="O22" s="4" t="s">
        <v>96</v>
      </c>
      <c r="P22" s="4" t="s">
        <v>286</v>
      </c>
      <c r="Q22" s="4" t="s">
        <v>99</v>
      </c>
      <c r="R22" s="4" t="n">
        <v>1.41</v>
      </c>
      <c r="S22" s="4" t="n">
        <v>0.68</v>
      </c>
      <c r="T22" s="4" t="s">
        <v>268</v>
      </c>
      <c r="U22" s="4" t="s">
        <v>287</v>
      </c>
    </row>
    <row r="23" customFormat="false" ht="247.75" hidden="false" customHeight="false" outlineLevel="0" collapsed="false">
      <c r="A23" s="4" t="s">
        <v>266</v>
      </c>
      <c r="B23" s="4" t="s">
        <v>288</v>
      </c>
      <c r="C23" s="4" t="s">
        <v>289</v>
      </c>
      <c r="D23" s="4" t="s">
        <v>54</v>
      </c>
      <c r="E23" s="4" t="s">
        <v>290</v>
      </c>
      <c r="F23" s="4" t="s">
        <v>291</v>
      </c>
      <c r="G23" s="4" t="s">
        <v>292</v>
      </c>
      <c r="H23" s="4" t="n">
        <v>1875</v>
      </c>
      <c r="I23" s="4" t="s">
        <v>250</v>
      </c>
      <c r="J23" s="4" t="s">
        <v>96</v>
      </c>
      <c r="K23" s="4" t="s">
        <v>217</v>
      </c>
      <c r="L23" s="4" t="s">
        <v>96</v>
      </c>
      <c r="M23" s="4" t="s">
        <v>293</v>
      </c>
      <c r="N23" s="4"/>
      <c r="O23" s="4" t="s">
        <v>96</v>
      </c>
      <c r="P23" s="4" t="s">
        <v>294</v>
      </c>
      <c r="Q23" s="4" t="s">
        <v>295</v>
      </c>
      <c r="R23" s="4" t="n">
        <v>11.36</v>
      </c>
      <c r="S23" s="4" t="n">
        <v>4.99</v>
      </c>
      <c r="T23" s="4" t="s">
        <v>296</v>
      </c>
      <c r="U23" s="4" t="s">
        <v>297</v>
      </c>
    </row>
    <row r="24" customFormat="false" ht="236.55" hidden="false" customHeight="false" outlineLevel="0" collapsed="false">
      <c r="A24" s="4" t="s">
        <v>298</v>
      </c>
      <c r="B24" s="4" t="s">
        <v>299</v>
      </c>
      <c r="C24" s="4" t="s">
        <v>300</v>
      </c>
      <c r="D24" s="4" t="s">
        <v>54</v>
      </c>
      <c r="E24" s="4" t="s">
        <v>299</v>
      </c>
      <c r="F24" s="4" t="s">
        <v>301</v>
      </c>
      <c r="G24" s="4" t="s">
        <v>302</v>
      </c>
      <c r="H24" s="4" t="n">
        <v>1888</v>
      </c>
      <c r="I24" s="4" t="s">
        <v>96</v>
      </c>
      <c r="J24" s="4" t="s">
        <v>96</v>
      </c>
      <c r="K24" s="4" t="s">
        <v>303</v>
      </c>
      <c r="L24" s="4" t="s">
        <v>96</v>
      </c>
      <c r="M24" s="4" t="s">
        <v>304</v>
      </c>
      <c r="N24" s="4"/>
      <c r="O24" s="4" t="s">
        <v>96</v>
      </c>
      <c r="P24" s="4" t="s">
        <v>305</v>
      </c>
      <c r="Q24" s="4" t="s">
        <v>295</v>
      </c>
      <c r="R24" s="4" t="n">
        <v>3.11</v>
      </c>
      <c r="S24" s="4" t="n">
        <v>0.14</v>
      </c>
      <c r="T24" s="4" t="s">
        <v>306</v>
      </c>
      <c r="U24" s="4" t="s">
        <v>307</v>
      </c>
    </row>
    <row r="25" customFormat="false" ht="169.4" hidden="false" customHeight="false" outlineLevel="0" collapsed="false">
      <c r="A25" s="4" t="s">
        <v>308</v>
      </c>
      <c r="B25" s="4" t="s">
        <v>309</v>
      </c>
      <c r="C25" s="4" t="s">
        <v>310</v>
      </c>
      <c r="D25" s="4" t="s">
        <v>54</v>
      </c>
      <c r="E25" s="4" t="s">
        <v>299</v>
      </c>
      <c r="F25" s="4" t="s">
        <v>282</v>
      </c>
      <c r="G25" s="4" t="s">
        <v>176</v>
      </c>
      <c r="H25" s="4" t="n">
        <v>1888</v>
      </c>
      <c r="I25" s="4" t="s">
        <v>96</v>
      </c>
      <c r="J25" s="4" t="s">
        <v>96</v>
      </c>
      <c r="K25" s="4" t="s">
        <v>303</v>
      </c>
      <c r="L25" s="4" t="s">
        <v>311</v>
      </c>
      <c r="M25" s="4" t="s">
        <v>312</v>
      </c>
      <c r="N25" s="4" t="n">
        <v>1925</v>
      </c>
      <c r="O25" s="4" t="s">
        <v>313</v>
      </c>
      <c r="P25" s="4" t="s">
        <v>314</v>
      </c>
      <c r="Q25" s="4" t="s">
        <v>149</v>
      </c>
      <c r="R25" s="4" t="n">
        <v>1.74</v>
      </c>
      <c r="S25" s="4" t="n">
        <v>0</v>
      </c>
      <c r="T25" s="4" t="s">
        <v>96</v>
      </c>
      <c r="U25" s="4" t="s">
        <v>315</v>
      </c>
    </row>
    <row r="26" customFormat="false" ht="135.8" hidden="false" customHeight="false" outlineLevel="0" collapsed="false">
      <c r="A26" s="4" t="s">
        <v>306</v>
      </c>
      <c r="B26" s="4" t="s">
        <v>316</v>
      </c>
      <c r="C26" s="4" t="s">
        <v>317</v>
      </c>
      <c r="D26" s="4" t="s">
        <v>54</v>
      </c>
      <c r="E26" s="4" t="s">
        <v>299</v>
      </c>
      <c r="F26" s="4" t="s">
        <v>96</v>
      </c>
      <c r="G26" s="4" t="s">
        <v>176</v>
      </c>
      <c r="H26" s="4" t="n">
        <v>1889</v>
      </c>
      <c r="I26" s="4" t="s">
        <v>96</v>
      </c>
      <c r="J26" s="4" t="s">
        <v>96</v>
      </c>
      <c r="K26" s="4" t="s">
        <v>318</v>
      </c>
      <c r="L26" s="4" t="s">
        <v>96</v>
      </c>
      <c r="M26" s="4" t="s">
        <v>319</v>
      </c>
      <c r="N26" s="4" t="n">
        <v>1894</v>
      </c>
      <c r="O26" s="4" t="s">
        <v>96</v>
      </c>
      <c r="P26" s="4"/>
      <c r="Q26" s="4" t="s">
        <v>295</v>
      </c>
      <c r="R26" s="4" t="n">
        <v>1.62</v>
      </c>
      <c r="S26" s="4" t="n">
        <v>1.05</v>
      </c>
      <c r="T26" s="4" t="s">
        <v>320</v>
      </c>
      <c r="U26" s="4" t="s">
        <v>321</v>
      </c>
    </row>
    <row r="27" customFormat="false" ht="258.95" hidden="false" customHeight="false" outlineLevel="0" collapsed="false">
      <c r="A27" s="4" t="s">
        <v>322</v>
      </c>
      <c r="B27" s="4" t="s">
        <v>323</v>
      </c>
      <c r="C27" s="4" t="s">
        <v>324</v>
      </c>
      <c r="D27" s="4" t="s">
        <v>54</v>
      </c>
      <c r="E27" s="4" t="s">
        <v>299</v>
      </c>
      <c r="F27" s="4" t="s">
        <v>155</v>
      </c>
      <c r="G27" s="4" t="s">
        <v>325</v>
      </c>
      <c r="H27" s="4" t="n">
        <v>1890</v>
      </c>
      <c r="I27" s="4" t="s">
        <v>96</v>
      </c>
      <c r="J27" s="4" t="s">
        <v>96</v>
      </c>
      <c r="K27" s="4" t="s">
        <v>73</v>
      </c>
      <c r="L27" s="4" t="s">
        <v>326</v>
      </c>
      <c r="M27" s="4" t="s">
        <v>327</v>
      </c>
      <c r="N27" s="4" t="n">
        <v>1958</v>
      </c>
      <c r="O27" s="4" t="s">
        <v>328</v>
      </c>
      <c r="P27" s="4" t="s">
        <v>329</v>
      </c>
      <c r="Q27" s="4" t="s">
        <v>78</v>
      </c>
      <c r="R27" s="4" t="n">
        <v>5.97</v>
      </c>
      <c r="S27" s="4" t="n">
        <v>1.12</v>
      </c>
      <c r="T27" s="4" t="s">
        <v>330</v>
      </c>
      <c r="U27" s="4" t="s">
        <v>331</v>
      </c>
    </row>
    <row r="28" customFormat="false" ht="225.35" hidden="false" customHeight="false" outlineLevel="0" collapsed="false">
      <c r="A28" s="4" t="s">
        <v>332</v>
      </c>
      <c r="B28" s="4" t="s">
        <v>333</v>
      </c>
      <c r="C28" s="4" t="s">
        <v>334</v>
      </c>
      <c r="D28" s="4" t="s">
        <v>54</v>
      </c>
      <c r="E28" s="4" t="s">
        <v>299</v>
      </c>
      <c r="F28" s="4" t="s">
        <v>282</v>
      </c>
      <c r="G28" s="4" t="s">
        <v>335</v>
      </c>
      <c r="H28" s="4" t="n">
        <v>1891</v>
      </c>
      <c r="I28" s="4" t="s">
        <v>96</v>
      </c>
      <c r="J28" s="4" t="s">
        <v>96</v>
      </c>
      <c r="K28" s="4" t="s">
        <v>336</v>
      </c>
      <c r="L28" s="4" t="s">
        <v>96</v>
      </c>
      <c r="M28" s="4" t="s">
        <v>337</v>
      </c>
      <c r="N28" s="4"/>
      <c r="O28" s="4" t="s">
        <v>96</v>
      </c>
      <c r="P28" s="4" t="s">
        <v>338</v>
      </c>
      <c r="Q28" s="4" t="s">
        <v>339</v>
      </c>
      <c r="R28" s="4" t="n">
        <v>1.91</v>
      </c>
      <c r="S28" s="4" t="n">
        <v>0</v>
      </c>
      <c r="T28" s="4" t="s">
        <v>96</v>
      </c>
      <c r="U28" s="4" t="s">
        <v>340</v>
      </c>
    </row>
    <row r="29" customFormat="false" ht="326.1" hidden="false" customHeight="false" outlineLevel="0" collapsed="false">
      <c r="A29" s="4" t="s">
        <v>341</v>
      </c>
      <c r="B29" s="4" t="s">
        <v>342</v>
      </c>
      <c r="C29" s="4" t="s">
        <v>343</v>
      </c>
      <c r="D29" s="4" t="s">
        <v>236</v>
      </c>
      <c r="E29" s="4" t="s">
        <v>344</v>
      </c>
      <c r="F29" s="4" t="s">
        <v>345</v>
      </c>
      <c r="G29" s="4" t="s">
        <v>176</v>
      </c>
      <c r="H29" s="4" t="n">
        <v>1897</v>
      </c>
      <c r="I29" s="4" t="s">
        <v>96</v>
      </c>
      <c r="J29" s="4" t="s">
        <v>96</v>
      </c>
      <c r="K29" s="4" t="s">
        <v>346</v>
      </c>
      <c r="L29" s="4" t="s">
        <v>347</v>
      </c>
      <c r="M29" s="4" t="s">
        <v>348</v>
      </c>
      <c r="N29" s="4" t="n">
        <v>1958</v>
      </c>
      <c r="O29" s="4" t="s">
        <v>349</v>
      </c>
      <c r="P29" s="4" t="s">
        <v>350</v>
      </c>
      <c r="Q29" s="4" t="s">
        <v>351</v>
      </c>
      <c r="R29" s="4" t="n">
        <v>11.96</v>
      </c>
      <c r="S29" s="4" t="n">
        <v>0.24</v>
      </c>
      <c r="T29" s="4" t="s">
        <v>352</v>
      </c>
      <c r="U29" s="4" t="s">
        <v>353</v>
      </c>
    </row>
    <row r="30" customFormat="false" ht="225.35" hidden="false" customHeight="false" outlineLevel="0" collapsed="false">
      <c r="A30" s="4" t="s">
        <v>352</v>
      </c>
      <c r="B30" s="4" t="s">
        <v>354</v>
      </c>
      <c r="C30" s="4" t="s">
        <v>355</v>
      </c>
      <c r="D30" s="4" t="s">
        <v>356</v>
      </c>
      <c r="E30" s="4" t="s">
        <v>357</v>
      </c>
      <c r="F30" s="4" t="s">
        <v>358</v>
      </c>
      <c r="G30" s="4" t="s">
        <v>176</v>
      </c>
      <c r="H30" s="4" t="n">
        <v>1902</v>
      </c>
      <c r="I30" s="4" t="s">
        <v>96</v>
      </c>
      <c r="J30" s="4" t="s">
        <v>96</v>
      </c>
      <c r="K30" s="4" t="s">
        <v>359</v>
      </c>
      <c r="L30" s="4" t="s">
        <v>360</v>
      </c>
      <c r="M30" s="4" t="s">
        <v>361</v>
      </c>
      <c r="N30" s="4" t="n">
        <v>1949</v>
      </c>
      <c r="O30" s="4" t="s">
        <v>362</v>
      </c>
      <c r="P30" s="4" t="s">
        <v>363</v>
      </c>
      <c r="Q30" s="4" t="s">
        <v>351</v>
      </c>
      <c r="R30" s="4" t="n">
        <v>13.68</v>
      </c>
      <c r="S30" s="4" t="n">
        <v>0.24</v>
      </c>
      <c r="T30" s="4" t="s">
        <v>341</v>
      </c>
      <c r="U30" s="4" t="s">
        <v>364</v>
      </c>
    </row>
    <row r="31" customFormat="false" ht="247.75" hidden="false" customHeight="false" outlineLevel="0" collapsed="false">
      <c r="A31" s="4" t="s">
        <v>365</v>
      </c>
      <c r="B31" s="4" t="s">
        <v>366</v>
      </c>
      <c r="C31" s="4" t="s">
        <v>367</v>
      </c>
      <c r="D31" s="4" t="s">
        <v>236</v>
      </c>
      <c r="E31" s="4" t="s">
        <v>368</v>
      </c>
      <c r="F31" s="4" t="s">
        <v>369</v>
      </c>
      <c r="G31" s="4" t="s">
        <v>370</v>
      </c>
      <c r="H31" s="4" t="n">
        <v>1890</v>
      </c>
      <c r="I31" s="4" t="s">
        <v>96</v>
      </c>
      <c r="J31" s="4" t="s">
        <v>96</v>
      </c>
      <c r="K31" s="4" t="s">
        <v>59</v>
      </c>
      <c r="L31" s="4" t="s">
        <v>371</v>
      </c>
      <c r="M31" s="4" t="s">
        <v>372</v>
      </c>
      <c r="N31" s="4" t="n">
        <v>1935</v>
      </c>
      <c r="O31" s="4" t="s">
        <v>373</v>
      </c>
      <c r="P31" s="4" t="s">
        <v>374</v>
      </c>
      <c r="Q31" s="4" t="s">
        <v>65</v>
      </c>
      <c r="R31" s="4" t="n">
        <v>10.18</v>
      </c>
      <c r="S31" s="4" t="n">
        <v>0</v>
      </c>
      <c r="T31" s="4" t="s">
        <v>96</v>
      </c>
      <c r="U31" s="4" t="s">
        <v>375</v>
      </c>
    </row>
    <row r="32" customFormat="false" ht="236.55" hidden="false" customHeight="false" outlineLevel="0" collapsed="false">
      <c r="A32" s="4" t="s">
        <v>376</v>
      </c>
      <c r="B32" s="4" t="s">
        <v>377</v>
      </c>
      <c r="C32" s="4" t="s">
        <v>378</v>
      </c>
      <c r="D32" s="4" t="s">
        <v>54</v>
      </c>
      <c r="E32" s="4" t="s">
        <v>368</v>
      </c>
      <c r="F32" s="4" t="s">
        <v>379</v>
      </c>
      <c r="G32" s="4" t="s">
        <v>380</v>
      </c>
      <c r="H32" s="4" t="n">
        <v>1893</v>
      </c>
      <c r="I32" s="4" t="s">
        <v>96</v>
      </c>
      <c r="J32" s="4" t="s">
        <v>96</v>
      </c>
      <c r="K32" s="4" t="s">
        <v>381</v>
      </c>
      <c r="L32" s="4" t="s">
        <v>382</v>
      </c>
      <c r="M32" s="4" t="s">
        <v>157</v>
      </c>
      <c r="N32" s="4" t="n">
        <v>1962</v>
      </c>
      <c r="O32" s="4" t="s">
        <v>383</v>
      </c>
      <c r="P32" s="4" t="s">
        <v>384</v>
      </c>
      <c r="Q32" s="4" t="s">
        <v>385</v>
      </c>
      <c r="R32" s="4" t="n">
        <v>1.86</v>
      </c>
      <c r="S32" s="4" t="n">
        <v>0.09</v>
      </c>
      <c r="T32" s="4" t="s">
        <v>115</v>
      </c>
      <c r="U32" s="4" t="s">
        <v>386</v>
      </c>
    </row>
    <row r="33" customFormat="false" ht="225.35" hidden="false" customHeight="false" outlineLevel="0" collapsed="false">
      <c r="A33" s="4" t="s">
        <v>387</v>
      </c>
      <c r="B33" s="4" t="s">
        <v>388</v>
      </c>
      <c r="C33" s="4" t="s">
        <v>389</v>
      </c>
      <c r="D33" s="4" t="s">
        <v>54</v>
      </c>
      <c r="E33" s="4" t="s">
        <v>390</v>
      </c>
      <c r="F33" s="4" t="s">
        <v>391</v>
      </c>
      <c r="G33" s="4" t="s">
        <v>176</v>
      </c>
      <c r="H33" s="4" t="n">
        <v>1908</v>
      </c>
      <c r="I33" s="4" t="s">
        <v>96</v>
      </c>
      <c r="J33" s="4" t="s">
        <v>96</v>
      </c>
      <c r="K33" s="4" t="s">
        <v>392</v>
      </c>
      <c r="L33" s="4" t="s">
        <v>393</v>
      </c>
      <c r="M33" s="4" t="s">
        <v>157</v>
      </c>
      <c r="N33" s="4" t="n">
        <v>1962</v>
      </c>
      <c r="O33" s="4" t="s">
        <v>383</v>
      </c>
      <c r="P33" s="4" t="s">
        <v>394</v>
      </c>
      <c r="Q33" s="4" t="s">
        <v>149</v>
      </c>
      <c r="R33" s="4" t="n">
        <v>6.51</v>
      </c>
      <c r="S33" s="4" t="n">
        <v>0.89</v>
      </c>
      <c r="T33" s="4" t="s">
        <v>395</v>
      </c>
      <c r="U33" s="4" t="s">
        <v>396</v>
      </c>
    </row>
    <row r="34" customFormat="false" ht="202.95" hidden="false" customHeight="false" outlineLevel="0" collapsed="false">
      <c r="A34" s="4" t="s">
        <v>397</v>
      </c>
      <c r="B34" s="4" t="s">
        <v>398</v>
      </c>
      <c r="C34" s="4" t="s">
        <v>399</v>
      </c>
      <c r="D34" s="4" t="s">
        <v>54</v>
      </c>
      <c r="E34" s="4" t="s">
        <v>400</v>
      </c>
      <c r="F34" s="4" t="s">
        <v>391</v>
      </c>
      <c r="G34" s="4" t="s">
        <v>176</v>
      </c>
      <c r="H34" s="4" t="n">
        <v>1908</v>
      </c>
      <c r="I34" s="4" t="s">
        <v>96</v>
      </c>
      <c r="J34" s="4" t="s">
        <v>96</v>
      </c>
      <c r="K34" s="4" t="s">
        <v>392</v>
      </c>
      <c r="L34" s="4" t="s">
        <v>401</v>
      </c>
      <c r="M34" s="4" t="s">
        <v>157</v>
      </c>
      <c r="N34" s="4" t="n">
        <v>1962</v>
      </c>
      <c r="O34" s="4" t="s">
        <v>96</v>
      </c>
      <c r="P34" s="4"/>
      <c r="Q34" s="4" t="s">
        <v>402</v>
      </c>
      <c r="R34" s="4" t="n">
        <v>2.31</v>
      </c>
      <c r="S34" s="4" t="n">
        <v>0.35</v>
      </c>
      <c r="T34" s="4" t="s">
        <v>403</v>
      </c>
      <c r="U34" s="4" t="s">
        <v>404</v>
      </c>
    </row>
    <row r="35" customFormat="false" ht="202.95" hidden="false" customHeight="false" outlineLevel="0" collapsed="false">
      <c r="A35" s="4" t="s">
        <v>405</v>
      </c>
      <c r="B35" s="4" t="s">
        <v>406</v>
      </c>
      <c r="C35" s="4" t="s">
        <v>407</v>
      </c>
      <c r="D35" s="4" t="s">
        <v>54</v>
      </c>
      <c r="E35" s="4" t="s">
        <v>408</v>
      </c>
      <c r="F35" s="4" t="s">
        <v>391</v>
      </c>
      <c r="G35" s="4" t="s">
        <v>176</v>
      </c>
      <c r="H35" s="4" t="n">
        <v>1908</v>
      </c>
      <c r="I35" s="4" t="s">
        <v>96</v>
      </c>
      <c r="J35" s="4" t="s">
        <v>96</v>
      </c>
      <c r="K35" s="4" t="s">
        <v>392</v>
      </c>
      <c r="L35" s="4" t="s">
        <v>393</v>
      </c>
      <c r="M35" s="4" t="s">
        <v>409</v>
      </c>
      <c r="N35" s="4" t="n">
        <v>1962</v>
      </c>
      <c r="O35" s="4" t="s">
        <v>96</v>
      </c>
      <c r="P35" s="4" t="s">
        <v>410</v>
      </c>
      <c r="Q35" s="4" t="s">
        <v>295</v>
      </c>
      <c r="R35" s="4" t="n">
        <v>1.71</v>
      </c>
      <c r="S35" s="4" t="n">
        <v>0.67</v>
      </c>
      <c r="T35" s="4" t="s">
        <v>411</v>
      </c>
      <c r="U35" s="4" t="s">
        <v>412</v>
      </c>
    </row>
    <row r="36" customFormat="false" ht="169.4" hidden="false" customHeight="false" outlineLevel="0" collapsed="false">
      <c r="A36" s="4" t="s">
        <v>413</v>
      </c>
      <c r="B36" s="4" t="s">
        <v>414</v>
      </c>
      <c r="C36" s="4" t="s">
        <v>415</v>
      </c>
      <c r="D36" s="4" t="s">
        <v>356</v>
      </c>
      <c r="E36" s="4" t="s">
        <v>416</v>
      </c>
      <c r="F36" s="4" t="s">
        <v>417</v>
      </c>
      <c r="G36" s="4" t="s">
        <v>418</v>
      </c>
      <c r="H36" s="4" t="n">
        <v>1895</v>
      </c>
      <c r="I36" s="4" t="s">
        <v>96</v>
      </c>
      <c r="J36" s="4" t="s">
        <v>96</v>
      </c>
      <c r="K36" s="4" t="s">
        <v>121</v>
      </c>
      <c r="L36" s="4" t="s">
        <v>96</v>
      </c>
      <c r="M36" s="4" t="s">
        <v>419</v>
      </c>
      <c r="N36" s="4" t="n">
        <v>1935</v>
      </c>
      <c r="O36" s="4" t="s">
        <v>96</v>
      </c>
      <c r="P36" s="4" t="s">
        <v>420</v>
      </c>
      <c r="Q36" s="4" t="s">
        <v>421</v>
      </c>
      <c r="R36" s="4" t="n">
        <v>3.76</v>
      </c>
      <c r="S36" s="4" t="n">
        <v>0</v>
      </c>
      <c r="T36" s="4" t="s">
        <v>96</v>
      </c>
      <c r="U36" s="4" t="s">
        <v>422</v>
      </c>
    </row>
    <row r="37" customFormat="false" ht="247.75" hidden="false" customHeight="false" outlineLevel="0" collapsed="false">
      <c r="A37" s="4" t="s">
        <v>423</v>
      </c>
      <c r="B37" s="4" t="s">
        <v>424</v>
      </c>
      <c r="C37" s="4" t="s">
        <v>425</v>
      </c>
      <c r="D37" s="4" t="s">
        <v>54</v>
      </c>
      <c r="E37" s="4" t="s">
        <v>426</v>
      </c>
      <c r="F37" s="4" t="s">
        <v>427</v>
      </c>
      <c r="G37" s="4" t="s">
        <v>428</v>
      </c>
      <c r="H37" s="4" t="n">
        <v>1890</v>
      </c>
      <c r="I37" s="4" t="s">
        <v>96</v>
      </c>
      <c r="J37" s="4" t="s">
        <v>96</v>
      </c>
      <c r="K37" s="4" t="s">
        <v>73</v>
      </c>
      <c r="L37" s="4" t="s">
        <v>429</v>
      </c>
      <c r="M37" s="4" t="s">
        <v>75</v>
      </c>
      <c r="N37" s="4" t="n">
        <v>1960</v>
      </c>
      <c r="O37" s="4" t="s">
        <v>430</v>
      </c>
      <c r="P37" s="4" t="s">
        <v>431</v>
      </c>
      <c r="Q37" s="4" t="s">
        <v>65</v>
      </c>
      <c r="R37" s="4" t="n">
        <v>6.58</v>
      </c>
      <c r="S37" s="4" t="n">
        <v>0.3</v>
      </c>
      <c r="T37" s="4" t="s">
        <v>432</v>
      </c>
      <c r="U37" s="4" t="s">
        <v>433</v>
      </c>
    </row>
    <row r="38" customFormat="false" ht="225.35" hidden="false" customHeight="false" outlineLevel="0" collapsed="false">
      <c r="A38" s="4" t="s">
        <v>434</v>
      </c>
      <c r="B38" s="4" t="s">
        <v>435</v>
      </c>
      <c r="C38" s="4" t="s">
        <v>436</v>
      </c>
      <c r="D38" s="4" t="s">
        <v>356</v>
      </c>
      <c r="E38" s="4" t="s">
        <v>437</v>
      </c>
      <c r="F38" s="4" t="s">
        <v>132</v>
      </c>
      <c r="G38" s="4" t="s">
        <v>176</v>
      </c>
      <c r="H38" s="4" t="n">
        <v>1890</v>
      </c>
      <c r="I38" s="4" t="s">
        <v>96</v>
      </c>
      <c r="J38" s="4" t="s">
        <v>96</v>
      </c>
      <c r="K38" s="4" t="s">
        <v>73</v>
      </c>
      <c r="L38" s="4" t="s">
        <v>438</v>
      </c>
      <c r="M38" s="4" t="s">
        <v>439</v>
      </c>
      <c r="N38" s="4" t="n">
        <v>1935</v>
      </c>
      <c r="O38" s="4" t="s">
        <v>440</v>
      </c>
      <c r="P38" s="4" t="s">
        <v>441</v>
      </c>
      <c r="Q38" s="4" t="s">
        <v>65</v>
      </c>
      <c r="R38" s="4" t="n">
        <v>15.49</v>
      </c>
      <c r="S38" s="4" t="n">
        <v>0</v>
      </c>
      <c r="T38" s="4" t="s">
        <v>96</v>
      </c>
      <c r="U38" s="4" t="s">
        <v>442</v>
      </c>
    </row>
    <row r="39" customFormat="false" ht="191.75" hidden="false" customHeight="false" outlineLevel="0" collapsed="false">
      <c r="A39" s="4" t="s">
        <v>443</v>
      </c>
      <c r="B39" s="4" t="s">
        <v>444</v>
      </c>
      <c r="C39" s="4" t="s">
        <v>445</v>
      </c>
      <c r="D39" s="4" t="s">
        <v>356</v>
      </c>
      <c r="E39" s="4" t="s">
        <v>446</v>
      </c>
      <c r="F39" s="4" t="s">
        <v>447</v>
      </c>
      <c r="G39" s="4" t="s">
        <v>176</v>
      </c>
      <c r="H39" s="4" t="n">
        <v>1891</v>
      </c>
      <c r="I39" s="4" t="s">
        <v>96</v>
      </c>
      <c r="J39" s="4" t="s">
        <v>96</v>
      </c>
      <c r="K39" s="4" t="s">
        <v>336</v>
      </c>
      <c r="L39" s="4" t="s">
        <v>96</v>
      </c>
      <c r="M39" s="4" t="s">
        <v>448</v>
      </c>
      <c r="N39" s="4" t="n">
        <v>1902</v>
      </c>
      <c r="O39" s="4" t="s">
        <v>96</v>
      </c>
      <c r="P39" s="4" t="s">
        <v>449</v>
      </c>
      <c r="Q39" s="4" t="s">
        <v>450</v>
      </c>
      <c r="R39" s="4" t="n">
        <v>6.39</v>
      </c>
      <c r="S39" s="4" t="n">
        <v>0.4</v>
      </c>
      <c r="T39" s="4" t="s">
        <v>451</v>
      </c>
      <c r="U39" s="4" t="s">
        <v>452</v>
      </c>
    </row>
    <row r="40" customFormat="false" ht="303.7" hidden="false" customHeight="false" outlineLevel="0" collapsed="false">
      <c r="A40" s="4" t="s">
        <v>451</v>
      </c>
      <c r="B40" s="4" t="s">
        <v>453</v>
      </c>
      <c r="C40" s="4" t="s">
        <v>454</v>
      </c>
      <c r="D40" s="4" t="s">
        <v>236</v>
      </c>
      <c r="E40" s="4" t="s">
        <v>455</v>
      </c>
      <c r="F40" s="4" t="s">
        <v>456</v>
      </c>
      <c r="G40" s="4" t="s">
        <v>176</v>
      </c>
      <c r="H40" s="4" t="n">
        <v>1895</v>
      </c>
      <c r="I40" s="4" t="s">
        <v>96</v>
      </c>
      <c r="J40" s="4" t="s">
        <v>96</v>
      </c>
      <c r="K40" s="4" t="s">
        <v>121</v>
      </c>
      <c r="L40" s="4" t="s">
        <v>457</v>
      </c>
      <c r="M40" s="4" t="s">
        <v>75</v>
      </c>
      <c r="N40" s="4" t="n">
        <v>1960</v>
      </c>
      <c r="O40" s="4" t="s">
        <v>458</v>
      </c>
      <c r="P40" s="4" t="s">
        <v>459</v>
      </c>
      <c r="Q40" s="4" t="s">
        <v>460</v>
      </c>
      <c r="R40" s="4" t="n">
        <v>12.46</v>
      </c>
      <c r="S40" s="4" t="n">
        <v>1.95</v>
      </c>
      <c r="T40" s="4" t="s">
        <v>461</v>
      </c>
      <c r="U40" s="4" t="s">
        <v>462</v>
      </c>
    </row>
    <row r="41" customFormat="false" ht="23.85" hidden="false" customHeight="false" outlineLevel="0" collapsed="false">
      <c r="A41" s="4" t="s">
        <v>463</v>
      </c>
      <c r="B41" s="4" t="s">
        <v>464</v>
      </c>
      <c r="C41" s="4" t="s">
        <v>465</v>
      </c>
      <c r="D41" s="4" t="s">
        <v>356</v>
      </c>
      <c r="E41" s="4" t="s">
        <v>464</v>
      </c>
      <c r="F41" s="4" t="s">
        <v>466</v>
      </c>
      <c r="G41" s="4" t="s">
        <v>176</v>
      </c>
      <c r="H41" s="4" t="n">
        <v>1896</v>
      </c>
      <c r="I41" s="4" t="s">
        <v>96</v>
      </c>
      <c r="J41" s="4" t="s">
        <v>96</v>
      </c>
      <c r="K41" s="4" t="s">
        <v>109</v>
      </c>
      <c r="L41" s="4" t="s">
        <v>96</v>
      </c>
      <c r="M41" s="4" t="s">
        <v>337</v>
      </c>
      <c r="N41" s="4"/>
      <c r="O41" s="4" t="s">
        <v>96</v>
      </c>
      <c r="P41" s="4" t="s">
        <v>467</v>
      </c>
      <c r="Q41" s="4" t="s">
        <v>468</v>
      </c>
      <c r="R41" s="4"/>
      <c r="S41" s="4"/>
      <c r="T41" s="4" t="s">
        <v>469</v>
      </c>
      <c r="U41" s="4"/>
    </row>
    <row r="42" customFormat="false" ht="135.8" hidden="false" customHeight="false" outlineLevel="0" collapsed="false">
      <c r="A42" s="4" t="s">
        <v>470</v>
      </c>
      <c r="B42" s="4" t="s">
        <v>471</v>
      </c>
      <c r="C42" s="4" t="s">
        <v>472</v>
      </c>
      <c r="D42" s="4" t="s">
        <v>54</v>
      </c>
      <c r="E42" s="4" t="s">
        <v>197</v>
      </c>
      <c r="F42" s="4" t="s">
        <v>96</v>
      </c>
      <c r="G42" s="4" t="s">
        <v>473</v>
      </c>
      <c r="H42" s="4" t="n">
        <v>1893</v>
      </c>
      <c r="I42" s="4" t="s">
        <v>96</v>
      </c>
      <c r="J42" s="4" t="s">
        <v>96</v>
      </c>
      <c r="K42" s="4" t="s">
        <v>205</v>
      </c>
      <c r="L42" s="4" t="s">
        <v>96</v>
      </c>
      <c r="M42" s="4" t="s">
        <v>474</v>
      </c>
      <c r="N42" s="4" t="n">
        <v>1895</v>
      </c>
      <c r="O42" s="4" t="s">
        <v>96</v>
      </c>
      <c r="P42" s="4" t="s">
        <v>475</v>
      </c>
      <c r="Q42" s="4" t="s">
        <v>476</v>
      </c>
      <c r="R42" s="4" t="n">
        <v>0.83</v>
      </c>
      <c r="S42" s="4" t="n">
        <v>0</v>
      </c>
      <c r="T42" s="4" t="s">
        <v>96</v>
      </c>
      <c r="U42" s="4" t="s">
        <v>477</v>
      </c>
    </row>
    <row r="43" customFormat="false" ht="270.1" hidden="false" customHeight="false" outlineLevel="0" collapsed="false">
      <c r="A43" s="4" t="s">
        <v>478</v>
      </c>
      <c r="B43" s="4" t="s">
        <v>479</v>
      </c>
      <c r="C43" s="4" t="s">
        <v>480</v>
      </c>
      <c r="D43" s="4" t="s">
        <v>54</v>
      </c>
      <c r="E43" s="4" t="s">
        <v>299</v>
      </c>
      <c r="F43" s="4" t="s">
        <v>481</v>
      </c>
      <c r="G43" s="4" t="s">
        <v>176</v>
      </c>
      <c r="H43" s="4" t="n">
        <v>1894</v>
      </c>
      <c r="I43" s="4" t="s">
        <v>96</v>
      </c>
      <c r="J43" s="4" t="s">
        <v>96</v>
      </c>
      <c r="K43" s="4" t="s">
        <v>482</v>
      </c>
      <c r="L43" s="4" t="s">
        <v>483</v>
      </c>
      <c r="M43" s="4" t="s">
        <v>484</v>
      </c>
      <c r="N43" s="4" t="n">
        <v>1961</v>
      </c>
      <c r="O43" s="4" t="s">
        <v>169</v>
      </c>
      <c r="P43" s="4" t="s">
        <v>485</v>
      </c>
      <c r="Q43" s="4" t="s">
        <v>486</v>
      </c>
      <c r="R43" s="4" t="n">
        <v>5.45</v>
      </c>
      <c r="S43" s="4" t="n">
        <v>1.12</v>
      </c>
      <c r="T43" s="4" t="s">
        <v>487</v>
      </c>
      <c r="U43" s="4" t="s">
        <v>488</v>
      </c>
    </row>
    <row r="44" customFormat="false" ht="236.55" hidden="false" customHeight="false" outlineLevel="0" collapsed="false">
      <c r="A44" s="4" t="s">
        <v>489</v>
      </c>
      <c r="B44" s="4" t="s">
        <v>490</v>
      </c>
      <c r="C44" s="4" t="s">
        <v>491</v>
      </c>
      <c r="D44" s="4" t="s">
        <v>54</v>
      </c>
      <c r="E44" s="4" t="s">
        <v>400</v>
      </c>
      <c r="F44" s="4" t="s">
        <v>391</v>
      </c>
      <c r="G44" s="4" t="s">
        <v>492</v>
      </c>
      <c r="H44" s="4" t="n">
        <v>1901</v>
      </c>
      <c r="I44" s="4" t="s">
        <v>96</v>
      </c>
      <c r="J44" s="4" t="s">
        <v>96</v>
      </c>
      <c r="K44" s="4" t="s">
        <v>493</v>
      </c>
      <c r="L44" s="4" t="s">
        <v>494</v>
      </c>
      <c r="M44" s="4" t="s">
        <v>495</v>
      </c>
      <c r="N44" s="4" t="n">
        <v>1958</v>
      </c>
      <c r="O44" s="4" t="s">
        <v>123</v>
      </c>
      <c r="P44" s="4" t="s">
        <v>496</v>
      </c>
      <c r="Q44" s="4" t="s">
        <v>497</v>
      </c>
      <c r="R44" s="4" t="n">
        <v>5.64</v>
      </c>
      <c r="S44" s="4" t="n">
        <v>0.14</v>
      </c>
      <c r="T44" s="4" t="s">
        <v>51</v>
      </c>
      <c r="U44" s="4" t="s">
        <v>498</v>
      </c>
    </row>
    <row r="45" customFormat="false" ht="191.75" hidden="false" customHeight="false" outlineLevel="0" collapsed="false">
      <c r="A45" s="4" t="s">
        <v>499</v>
      </c>
      <c r="B45" s="4" t="s">
        <v>500</v>
      </c>
      <c r="C45" s="4" t="s">
        <v>501</v>
      </c>
      <c r="D45" s="4" t="s">
        <v>54</v>
      </c>
      <c r="E45" s="4" t="s">
        <v>502</v>
      </c>
      <c r="F45" s="4" t="s">
        <v>503</v>
      </c>
      <c r="G45" s="4" t="s">
        <v>176</v>
      </c>
      <c r="H45" s="4"/>
      <c r="I45" s="4" t="s">
        <v>96</v>
      </c>
      <c r="J45" s="4" t="s">
        <v>96</v>
      </c>
      <c r="K45" s="4" t="s">
        <v>96</v>
      </c>
      <c r="L45" s="4" t="s">
        <v>504</v>
      </c>
      <c r="M45" s="4" t="s">
        <v>505</v>
      </c>
      <c r="N45" s="4" t="n">
        <v>1960</v>
      </c>
      <c r="O45" s="4" t="s">
        <v>123</v>
      </c>
      <c r="P45" s="4" t="s">
        <v>506</v>
      </c>
      <c r="Q45" s="4" t="s">
        <v>507</v>
      </c>
      <c r="R45" s="4" t="n">
        <v>0.71</v>
      </c>
      <c r="S45" s="4" t="n">
        <v>0</v>
      </c>
      <c r="T45" s="4" t="s">
        <v>96</v>
      </c>
      <c r="U45" s="4" t="s">
        <v>508</v>
      </c>
    </row>
    <row r="46" customFormat="false" ht="202.95" hidden="false" customHeight="false" outlineLevel="0" collapsed="false">
      <c r="A46" s="4" t="s">
        <v>509</v>
      </c>
      <c r="B46" s="4" t="s">
        <v>510</v>
      </c>
      <c r="C46" s="4" t="s">
        <v>511</v>
      </c>
      <c r="D46" s="4" t="s">
        <v>54</v>
      </c>
      <c r="E46" s="4" t="s">
        <v>512</v>
      </c>
      <c r="F46" s="4" t="s">
        <v>502</v>
      </c>
      <c r="G46" s="4" t="s">
        <v>176</v>
      </c>
      <c r="H46" s="4"/>
      <c r="I46" s="4" t="s">
        <v>96</v>
      </c>
      <c r="J46" s="4" t="s">
        <v>96</v>
      </c>
      <c r="K46" s="4" t="s">
        <v>96</v>
      </c>
      <c r="L46" s="4" t="s">
        <v>513</v>
      </c>
      <c r="M46" s="4" t="s">
        <v>514</v>
      </c>
      <c r="N46" s="4" t="n">
        <v>1949</v>
      </c>
      <c r="O46" s="4" t="s">
        <v>515</v>
      </c>
      <c r="P46" s="4" t="s">
        <v>516</v>
      </c>
      <c r="Q46" s="4" t="s">
        <v>517</v>
      </c>
      <c r="R46" s="4" t="n">
        <v>0.47</v>
      </c>
      <c r="S46" s="4" t="n">
        <v>0.11</v>
      </c>
      <c r="T46" s="4" t="s">
        <v>518</v>
      </c>
      <c r="U46" s="4" t="s">
        <v>519</v>
      </c>
    </row>
    <row r="47" customFormat="false" ht="147" hidden="false" customHeight="false" outlineLevel="0" collapsed="false">
      <c r="A47" s="4" t="s">
        <v>520</v>
      </c>
      <c r="B47" s="4" t="s">
        <v>521</v>
      </c>
      <c r="C47" s="4" t="s">
        <v>522</v>
      </c>
      <c r="D47" s="4" t="s">
        <v>356</v>
      </c>
      <c r="E47" s="4" t="s">
        <v>523</v>
      </c>
      <c r="F47" s="4" t="s">
        <v>96</v>
      </c>
      <c r="G47" s="4" t="s">
        <v>176</v>
      </c>
      <c r="H47" s="4" t="n">
        <v>1913</v>
      </c>
      <c r="I47" s="4" t="s">
        <v>96</v>
      </c>
      <c r="J47" s="4" t="s">
        <v>96</v>
      </c>
      <c r="K47" s="4" t="s">
        <v>524</v>
      </c>
      <c r="L47" s="4" t="s">
        <v>96</v>
      </c>
      <c r="M47" s="4" t="s">
        <v>525</v>
      </c>
      <c r="N47" s="4" t="n">
        <v>1921</v>
      </c>
      <c r="O47" s="4" t="s">
        <v>96</v>
      </c>
      <c r="P47" s="4" t="s">
        <v>526</v>
      </c>
      <c r="Q47" s="4" t="s">
        <v>450</v>
      </c>
      <c r="R47" s="4" t="n">
        <v>16.16</v>
      </c>
      <c r="S47" s="4" t="n">
        <v>0</v>
      </c>
      <c r="T47" s="4" t="s">
        <v>96</v>
      </c>
      <c r="U47" s="4" t="s">
        <v>527</v>
      </c>
    </row>
    <row r="48" customFormat="false" ht="169.4" hidden="false" customHeight="false" outlineLevel="0" collapsed="false">
      <c r="A48" s="4" t="s">
        <v>192</v>
      </c>
      <c r="B48" s="4" t="s">
        <v>528</v>
      </c>
      <c r="C48" s="4" t="s">
        <v>529</v>
      </c>
      <c r="D48" s="4" t="s">
        <v>356</v>
      </c>
      <c r="E48" s="4" t="s">
        <v>530</v>
      </c>
      <c r="F48" s="4" t="s">
        <v>282</v>
      </c>
      <c r="G48" s="4" t="s">
        <v>176</v>
      </c>
      <c r="H48" s="4" t="n">
        <v>1897</v>
      </c>
      <c r="I48" s="4" t="s">
        <v>96</v>
      </c>
      <c r="J48" s="4" t="s">
        <v>96</v>
      </c>
      <c r="K48" s="4" t="s">
        <v>531</v>
      </c>
      <c r="L48" s="4" t="s">
        <v>532</v>
      </c>
      <c r="M48" s="4" t="s">
        <v>533</v>
      </c>
      <c r="N48" s="4" t="n">
        <v>1924</v>
      </c>
      <c r="O48" s="4" t="s">
        <v>534</v>
      </c>
      <c r="P48" s="4" t="s">
        <v>535</v>
      </c>
      <c r="Q48" s="4" t="s">
        <v>536</v>
      </c>
      <c r="R48" s="4" t="n">
        <v>4.13</v>
      </c>
      <c r="S48" s="4" t="n">
        <v>0.06</v>
      </c>
      <c r="T48" s="4" t="s">
        <v>183</v>
      </c>
      <c r="U48" s="4" t="s">
        <v>537</v>
      </c>
    </row>
    <row r="49" customFormat="false" ht="180.55" hidden="false" customHeight="false" outlineLevel="0" collapsed="false">
      <c r="A49" s="4" t="s">
        <v>538</v>
      </c>
      <c r="B49" s="4" t="s">
        <v>539</v>
      </c>
      <c r="C49" s="4" t="s">
        <v>540</v>
      </c>
      <c r="D49" s="4" t="s">
        <v>236</v>
      </c>
      <c r="E49" s="4" t="s">
        <v>541</v>
      </c>
      <c r="F49" s="4" t="s">
        <v>542</v>
      </c>
      <c r="G49" s="4" t="s">
        <v>543</v>
      </c>
      <c r="H49" s="4" t="n">
        <v>1897</v>
      </c>
      <c r="I49" s="4" t="s">
        <v>96</v>
      </c>
      <c r="J49" s="4" t="s">
        <v>96</v>
      </c>
      <c r="K49" s="4" t="s">
        <v>346</v>
      </c>
      <c r="L49" s="4" t="s">
        <v>544</v>
      </c>
      <c r="M49" s="4" t="s">
        <v>545</v>
      </c>
      <c r="N49" s="4" t="n">
        <v>1927</v>
      </c>
      <c r="O49" s="4" t="s">
        <v>546</v>
      </c>
      <c r="P49" s="4" t="s">
        <v>547</v>
      </c>
      <c r="Q49" s="4" t="s">
        <v>548</v>
      </c>
      <c r="R49" s="4" t="n">
        <v>2.74</v>
      </c>
      <c r="S49" s="4" t="n">
        <v>0</v>
      </c>
      <c r="T49" s="4" t="s">
        <v>96</v>
      </c>
      <c r="U49" s="4" t="s">
        <v>549</v>
      </c>
    </row>
    <row r="50" customFormat="false" ht="202.95" hidden="false" customHeight="false" outlineLevel="0" collapsed="false">
      <c r="A50" s="4" t="s">
        <v>550</v>
      </c>
      <c r="B50" s="4" t="s">
        <v>551</v>
      </c>
      <c r="C50" s="4" t="s">
        <v>552</v>
      </c>
      <c r="D50" s="4" t="s">
        <v>54</v>
      </c>
      <c r="E50" s="4" t="s">
        <v>553</v>
      </c>
      <c r="F50" s="4" t="s">
        <v>554</v>
      </c>
      <c r="G50" s="4" t="s">
        <v>176</v>
      </c>
      <c r="H50" s="4" t="n">
        <v>1910</v>
      </c>
      <c r="I50" s="4" t="s">
        <v>96</v>
      </c>
      <c r="J50" s="4" t="s">
        <v>96</v>
      </c>
      <c r="K50" s="4" t="s">
        <v>555</v>
      </c>
      <c r="L50" s="4" t="s">
        <v>556</v>
      </c>
      <c r="M50" s="4" t="s">
        <v>557</v>
      </c>
      <c r="N50" s="4" t="n">
        <v>1936</v>
      </c>
      <c r="O50" s="4" t="s">
        <v>558</v>
      </c>
      <c r="P50" s="4" t="s">
        <v>559</v>
      </c>
      <c r="Q50" s="4" t="s">
        <v>149</v>
      </c>
      <c r="R50" s="4" t="n">
        <v>3.46</v>
      </c>
      <c r="S50" s="4" t="n">
        <v>0</v>
      </c>
      <c r="T50" s="4" t="s">
        <v>96</v>
      </c>
      <c r="U50" s="4" t="s">
        <v>560</v>
      </c>
    </row>
    <row r="51" customFormat="false" ht="35.05" hidden="false" customHeight="false" outlineLevel="0" collapsed="false">
      <c r="A51" s="4" t="s">
        <v>561</v>
      </c>
      <c r="B51" s="4" t="s">
        <v>562</v>
      </c>
      <c r="C51" s="4" t="s">
        <v>563</v>
      </c>
      <c r="D51" s="4" t="s">
        <v>54</v>
      </c>
      <c r="E51" s="4" t="s">
        <v>400</v>
      </c>
      <c r="F51" s="4" t="s">
        <v>502</v>
      </c>
      <c r="G51" s="4" t="s">
        <v>176</v>
      </c>
      <c r="H51" s="4" t="n">
        <v>1910</v>
      </c>
      <c r="I51" s="4" t="s">
        <v>96</v>
      </c>
      <c r="J51" s="4" t="s">
        <v>96</v>
      </c>
      <c r="K51" s="4" t="s">
        <v>555</v>
      </c>
      <c r="L51" s="4" t="s">
        <v>564</v>
      </c>
      <c r="M51" s="4" t="s">
        <v>565</v>
      </c>
      <c r="N51" s="4" t="n">
        <v>1936</v>
      </c>
      <c r="O51" s="4" t="s">
        <v>558</v>
      </c>
      <c r="P51" s="4"/>
      <c r="Q51" s="4" t="s">
        <v>566</v>
      </c>
      <c r="R51" s="4"/>
      <c r="S51" s="4"/>
      <c r="T51" s="4" t="s">
        <v>469</v>
      </c>
      <c r="U51" s="4"/>
    </row>
    <row r="52" customFormat="false" ht="180.55" hidden="false" customHeight="false" outlineLevel="0" collapsed="false">
      <c r="A52" s="4" t="s">
        <v>567</v>
      </c>
      <c r="B52" s="4" t="s">
        <v>568</v>
      </c>
      <c r="C52" s="4" t="s">
        <v>569</v>
      </c>
      <c r="D52" s="4" t="s">
        <v>54</v>
      </c>
      <c r="E52" s="4" t="s">
        <v>570</v>
      </c>
      <c r="F52" s="4" t="s">
        <v>96</v>
      </c>
      <c r="G52" s="4" t="s">
        <v>176</v>
      </c>
      <c r="H52" s="4" t="n">
        <v>1903</v>
      </c>
      <c r="I52" s="4" t="s">
        <v>96</v>
      </c>
      <c r="J52" s="4" t="s">
        <v>96</v>
      </c>
      <c r="K52" s="4" t="s">
        <v>571</v>
      </c>
      <c r="L52" s="4" t="s">
        <v>572</v>
      </c>
      <c r="M52" s="4" t="s">
        <v>573</v>
      </c>
      <c r="N52" s="4" t="n">
        <v>1923</v>
      </c>
      <c r="O52" s="4" t="s">
        <v>574</v>
      </c>
      <c r="P52" s="4" t="s">
        <v>575</v>
      </c>
      <c r="Q52" s="4" t="s">
        <v>149</v>
      </c>
      <c r="R52" s="4" t="n">
        <v>2.29</v>
      </c>
      <c r="S52" s="4" t="n">
        <v>0</v>
      </c>
      <c r="T52" s="4" t="s">
        <v>96</v>
      </c>
      <c r="U52" s="4" t="s">
        <v>576</v>
      </c>
    </row>
    <row r="53" customFormat="false" ht="180.55" hidden="false" customHeight="false" outlineLevel="0" collapsed="false">
      <c r="A53" s="4" t="s">
        <v>577</v>
      </c>
      <c r="B53" s="4" t="s">
        <v>578</v>
      </c>
      <c r="C53" s="4" t="s">
        <v>579</v>
      </c>
      <c r="D53" s="4" t="s">
        <v>236</v>
      </c>
      <c r="E53" s="4" t="s">
        <v>580</v>
      </c>
      <c r="F53" s="4" t="s">
        <v>581</v>
      </c>
      <c r="G53" s="4" t="s">
        <v>582</v>
      </c>
      <c r="H53" s="4" t="n">
        <v>1910</v>
      </c>
      <c r="I53" s="4" t="s">
        <v>96</v>
      </c>
      <c r="J53" s="4" t="s">
        <v>96</v>
      </c>
      <c r="K53" s="4" t="s">
        <v>555</v>
      </c>
      <c r="L53" s="4" t="s">
        <v>583</v>
      </c>
      <c r="M53" s="4" t="s">
        <v>584</v>
      </c>
      <c r="N53" s="4" t="n">
        <v>1923</v>
      </c>
      <c r="O53" s="4" t="s">
        <v>585</v>
      </c>
      <c r="P53" s="4" t="s">
        <v>586</v>
      </c>
      <c r="Q53" s="4" t="s">
        <v>65</v>
      </c>
      <c r="R53" s="4" t="n">
        <v>12.64</v>
      </c>
      <c r="S53" s="4" t="n">
        <v>0</v>
      </c>
      <c r="T53" s="4" t="s">
        <v>96</v>
      </c>
      <c r="U53" s="4" t="s">
        <v>587</v>
      </c>
    </row>
    <row r="54" customFormat="false" ht="15" hidden="false" customHeight="false" outlineLevel="0" collapsed="false">
      <c r="A54" s="4" t="s">
        <v>588</v>
      </c>
      <c r="B54" s="4" t="s">
        <v>589</v>
      </c>
      <c r="C54" s="4" t="s">
        <v>590</v>
      </c>
      <c r="D54" s="4" t="s">
        <v>54</v>
      </c>
      <c r="E54" s="4" t="s">
        <v>282</v>
      </c>
      <c r="F54" s="4" t="s">
        <v>96</v>
      </c>
      <c r="G54" s="4" t="s">
        <v>176</v>
      </c>
      <c r="H54" s="4" t="n">
        <v>1908</v>
      </c>
      <c r="I54" s="4" t="s">
        <v>96</v>
      </c>
      <c r="J54" s="4" t="s">
        <v>96</v>
      </c>
      <c r="K54" s="4" t="s">
        <v>392</v>
      </c>
      <c r="L54" s="4" t="s">
        <v>591</v>
      </c>
      <c r="M54" s="4" t="s">
        <v>592</v>
      </c>
      <c r="N54" s="4" t="n">
        <v>1925</v>
      </c>
      <c r="O54" s="4" t="s">
        <v>593</v>
      </c>
      <c r="P54" s="4"/>
      <c r="Q54" s="4" t="s">
        <v>402</v>
      </c>
      <c r="R54" s="4"/>
      <c r="S54" s="4"/>
      <c r="T54" s="4" t="s">
        <v>469</v>
      </c>
      <c r="U54" s="4"/>
    </row>
    <row r="55" customFormat="false" ht="236.55" hidden="false" customHeight="false" outlineLevel="0" collapsed="false">
      <c r="A55" s="4" t="s">
        <v>594</v>
      </c>
      <c r="B55" s="4" t="s">
        <v>595</v>
      </c>
      <c r="C55" s="4" t="s">
        <v>596</v>
      </c>
      <c r="D55" s="4" t="s">
        <v>54</v>
      </c>
      <c r="E55" s="4" t="s">
        <v>597</v>
      </c>
      <c r="F55" s="4" t="s">
        <v>132</v>
      </c>
      <c r="G55" s="4" t="s">
        <v>262</v>
      </c>
      <c r="H55" s="4" t="n">
        <v>1875</v>
      </c>
      <c r="I55" s="4" t="s">
        <v>250</v>
      </c>
      <c r="J55" s="4" t="s">
        <v>96</v>
      </c>
      <c r="K55" s="4" t="s">
        <v>177</v>
      </c>
      <c r="L55" s="4" t="s">
        <v>135</v>
      </c>
      <c r="M55" s="4" t="s">
        <v>598</v>
      </c>
      <c r="N55" s="4" t="n">
        <v>1935</v>
      </c>
      <c r="O55" s="4" t="s">
        <v>137</v>
      </c>
      <c r="P55" s="4" t="s">
        <v>599</v>
      </c>
      <c r="Q55" s="4" t="s">
        <v>600</v>
      </c>
      <c r="R55" s="4" t="n">
        <v>1.76</v>
      </c>
      <c r="S55" s="4" t="n">
        <v>0.16</v>
      </c>
      <c r="T55" s="4" t="s">
        <v>601</v>
      </c>
      <c r="U55" s="4" t="s">
        <v>602</v>
      </c>
    </row>
    <row r="56" customFormat="false" ht="180.55" hidden="false" customHeight="false" outlineLevel="0" collapsed="false">
      <c r="A56" s="4" t="s">
        <v>603</v>
      </c>
      <c r="B56" s="4" t="s">
        <v>604</v>
      </c>
      <c r="C56" s="4" t="s">
        <v>605</v>
      </c>
      <c r="D56" s="4" t="s">
        <v>606</v>
      </c>
      <c r="E56" s="4" t="s">
        <v>400</v>
      </c>
      <c r="F56" s="4" t="s">
        <v>502</v>
      </c>
      <c r="G56" s="4" t="s">
        <v>176</v>
      </c>
      <c r="H56" s="4" t="n">
        <v>1923</v>
      </c>
      <c r="I56" s="4" t="s">
        <v>96</v>
      </c>
      <c r="J56" s="4" t="s">
        <v>96</v>
      </c>
      <c r="K56" s="4" t="s">
        <v>607</v>
      </c>
      <c r="L56" s="4" t="s">
        <v>608</v>
      </c>
      <c r="M56" s="4" t="s">
        <v>609</v>
      </c>
      <c r="N56" s="4" t="n">
        <v>1956</v>
      </c>
      <c r="O56" s="4" t="s">
        <v>610</v>
      </c>
      <c r="P56" s="4" t="s">
        <v>611</v>
      </c>
      <c r="Q56" s="4" t="s">
        <v>612</v>
      </c>
      <c r="R56" s="4" t="n">
        <v>1.2</v>
      </c>
      <c r="S56" s="4" t="n">
        <v>0</v>
      </c>
      <c r="T56" s="4" t="s">
        <v>96</v>
      </c>
      <c r="U56" s="4" t="s">
        <v>613</v>
      </c>
    </row>
    <row r="57" customFormat="false" ht="23.85" hidden="false" customHeight="false" outlineLevel="0" collapsed="false">
      <c r="A57" s="4" t="s">
        <v>614</v>
      </c>
      <c r="B57" s="4" t="s">
        <v>615</v>
      </c>
      <c r="C57" s="4" t="s">
        <v>616</v>
      </c>
      <c r="D57" s="4" t="s">
        <v>54</v>
      </c>
      <c r="E57" s="4" t="s">
        <v>502</v>
      </c>
      <c r="F57" s="4" t="s">
        <v>503</v>
      </c>
      <c r="G57" s="4" t="s">
        <v>176</v>
      </c>
      <c r="H57" s="4" t="n">
        <v>1936</v>
      </c>
      <c r="I57" s="4" t="s">
        <v>96</v>
      </c>
      <c r="J57" s="4" t="s">
        <v>96</v>
      </c>
      <c r="K57" s="4" t="s">
        <v>617</v>
      </c>
      <c r="L57" s="4" t="s">
        <v>618</v>
      </c>
      <c r="M57" s="4" t="s">
        <v>619</v>
      </c>
      <c r="N57" s="4" t="n">
        <v>1962</v>
      </c>
      <c r="O57" s="4" t="s">
        <v>362</v>
      </c>
      <c r="P57" s="4"/>
      <c r="Q57" s="4" t="s">
        <v>566</v>
      </c>
      <c r="R57" s="4"/>
      <c r="S57" s="4"/>
      <c r="T57" s="4" t="s">
        <v>469</v>
      </c>
      <c r="U57" s="4"/>
    </row>
    <row r="58" customFormat="false" ht="236.55" hidden="false" customHeight="false" outlineLevel="0" collapsed="false">
      <c r="A58" s="4" t="s">
        <v>620</v>
      </c>
      <c r="B58" s="4" t="s">
        <v>621</v>
      </c>
      <c r="C58" s="4" t="s">
        <v>622</v>
      </c>
      <c r="D58" s="4" t="s">
        <v>54</v>
      </c>
      <c r="E58" s="4" t="s">
        <v>623</v>
      </c>
      <c r="F58" s="4" t="s">
        <v>503</v>
      </c>
      <c r="G58" s="4" t="s">
        <v>176</v>
      </c>
      <c r="H58" s="4" t="n">
        <v>1895</v>
      </c>
      <c r="I58" s="4" t="s">
        <v>96</v>
      </c>
      <c r="J58" s="4" t="s">
        <v>96</v>
      </c>
      <c r="K58" s="4" t="s">
        <v>121</v>
      </c>
      <c r="L58" s="4" t="s">
        <v>624</v>
      </c>
      <c r="M58" s="4" t="s">
        <v>157</v>
      </c>
      <c r="N58" s="4" t="n">
        <v>1962</v>
      </c>
      <c r="O58" s="4" t="s">
        <v>625</v>
      </c>
      <c r="P58" s="4" t="s">
        <v>626</v>
      </c>
      <c r="Q58" s="4" t="s">
        <v>295</v>
      </c>
      <c r="R58" s="4" t="n">
        <v>1.04</v>
      </c>
      <c r="S58" s="4" t="n">
        <v>1.04</v>
      </c>
      <c r="T58" s="4" t="s">
        <v>627</v>
      </c>
      <c r="U58" s="4" t="s">
        <v>628</v>
      </c>
    </row>
    <row r="59" customFormat="false" ht="191.75" hidden="false" customHeight="false" outlineLevel="0" collapsed="false">
      <c r="A59" s="4" t="s">
        <v>629</v>
      </c>
      <c r="B59" s="4" t="s">
        <v>630</v>
      </c>
      <c r="C59" s="4" t="s">
        <v>631</v>
      </c>
      <c r="D59" s="4" t="s">
        <v>632</v>
      </c>
      <c r="E59" s="4" t="s">
        <v>633</v>
      </c>
      <c r="F59" s="4" t="s">
        <v>634</v>
      </c>
      <c r="G59" s="4" t="s">
        <v>635</v>
      </c>
      <c r="H59" s="4" t="n">
        <v>1892</v>
      </c>
      <c r="I59" s="4" t="s">
        <v>96</v>
      </c>
      <c r="J59" s="4" t="s">
        <v>96</v>
      </c>
      <c r="K59" s="4" t="s">
        <v>59</v>
      </c>
      <c r="L59" s="4" t="s">
        <v>96</v>
      </c>
      <c r="M59" s="4" t="s">
        <v>636</v>
      </c>
      <c r="N59" s="4" t="n">
        <v>1932</v>
      </c>
      <c r="O59" s="4" t="s">
        <v>637</v>
      </c>
      <c r="P59" s="4" t="s">
        <v>638</v>
      </c>
      <c r="Q59" s="4" t="s">
        <v>639</v>
      </c>
      <c r="R59" s="4" t="n">
        <v>22.02</v>
      </c>
      <c r="S59" s="4" t="n">
        <v>1.09</v>
      </c>
      <c r="T59" s="4" t="s">
        <v>640</v>
      </c>
      <c r="U59" s="4" t="s">
        <v>641</v>
      </c>
    </row>
    <row r="60" customFormat="false" ht="169.4" hidden="false" customHeight="false" outlineLevel="0" collapsed="false">
      <c r="A60" s="4" t="s">
        <v>642</v>
      </c>
      <c r="B60" s="4" t="s">
        <v>643</v>
      </c>
      <c r="C60" s="4" t="s">
        <v>644</v>
      </c>
      <c r="D60" s="4" t="s">
        <v>645</v>
      </c>
      <c r="E60" s="4" t="s">
        <v>633</v>
      </c>
      <c r="F60" s="4" t="s">
        <v>646</v>
      </c>
      <c r="G60" s="4" t="s">
        <v>176</v>
      </c>
      <c r="H60" s="4" t="n">
        <v>1896</v>
      </c>
      <c r="I60" s="4" t="s">
        <v>96</v>
      </c>
      <c r="J60" s="4" t="s">
        <v>96</v>
      </c>
      <c r="K60" s="4" t="s">
        <v>109</v>
      </c>
      <c r="L60" s="4" t="s">
        <v>96</v>
      </c>
      <c r="M60" s="4" t="s">
        <v>647</v>
      </c>
      <c r="N60" s="4" t="n">
        <v>1921</v>
      </c>
      <c r="O60" s="4" t="s">
        <v>96</v>
      </c>
      <c r="P60" s="4" t="s">
        <v>648</v>
      </c>
      <c r="Q60" s="4" t="s">
        <v>649</v>
      </c>
      <c r="R60" s="4" t="n">
        <v>4.67</v>
      </c>
      <c r="S60" s="4" t="n">
        <v>0.02</v>
      </c>
      <c r="T60" s="4" t="s">
        <v>650</v>
      </c>
      <c r="U60" s="4" t="s">
        <v>651</v>
      </c>
    </row>
    <row r="61" customFormat="false" ht="191.75" hidden="false" customHeight="false" outlineLevel="0" collapsed="false">
      <c r="A61" s="4" t="s">
        <v>652</v>
      </c>
      <c r="B61" s="4" t="s">
        <v>653</v>
      </c>
      <c r="C61" s="4" t="s">
        <v>654</v>
      </c>
      <c r="D61" s="4" t="s">
        <v>645</v>
      </c>
      <c r="E61" s="4" t="s">
        <v>655</v>
      </c>
      <c r="F61" s="4" t="s">
        <v>656</v>
      </c>
      <c r="G61" s="4" t="s">
        <v>657</v>
      </c>
      <c r="H61" s="4" t="n">
        <v>1892</v>
      </c>
      <c r="I61" s="4" t="s">
        <v>59</v>
      </c>
      <c r="J61" s="4" t="s">
        <v>96</v>
      </c>
      <c r="K61" s="4" t="s">
        <v>96</v>
      </c>
      <c r="L61" s="4" t="s">
        <v>96</v>
      </c>
      <c r="M61" s="4" t="s">
        <v>337</v>
      </c>
      <c r="N61" s="4"/>
      <c r="O61" s="4" t="s">
        <v>96</v>
      </c>
      <c r="P61" s="4" t="s">
        <v>658</v>
      </c>
      <c r="Q61" s="4" t="s">
        <v>649</v>
      </c>
      <c r="R61" s="4" t="n">
        <v>5.49</v>
      </c>
      <c r="S61" s="4" t="n">
        <v>0</v>
      </c>
      <c r="T61" s="4" t="s">
        <v>96</v>
      </c>
      <c r="U61" s="4" t="s">
        <v>659</v>
      </c>
    </row>
    <row r="62" customFormat="false" ht="180.55" hidden="false" customHeight="false" outlineLevel="0" collapsed="false">
      <c r="A62" s="4" t="s">
        <v>660</v>
      </c>
      <c r="B62" s="4" t="s">
        <v>661</v>
      </c>
      <c r="C62" s="4" t="s">
        <v>662</v>
      </c>
      <c r="D62" s="4" t="s">
        <v>632</v>
      </c>
      <c r="E62" s="4" t="s">
        <v>655</v>
      </c>
      <c r="F62" s="4" t="s">
        <v>663</v>
      </c>
      <c r="G62" s="4" t="s">
        <v>664</v>
      </c>
      <c r="H62" s="4" t="n">
        <v>1896</v>
      </c>
      <c r="I62" s="4" t="s">
        <v>96</v>
      </c>
      <c r="J62" s="4" t="s">
        <v>96</v>
      </c>
      <c r="K62" s="4" t="s">
        <v>109</v>
      </c>
      <c r="L62" s="4" t="s">
        <v>96</v>
      </c>
      <c r="M62" s="4" t="s">
        <v>665</v>
      </c>
      <c r="N62" s="4" t="n">
        <v>1932</v>
      </c>
      <c r="O62" s="4" t="s">
        <v>666</v>
      </c>
      <c r="P62" s="4" t="s">
        <v>667</v>
      </c>
      <c r="Q62" s="4" t="s">
        <v>639</v>
      </c>
      <c r="R62" s="4" t="n">
        <v>22.21</v>
      </c>
      <c r="S62" s="4" t="n">
        <v>0</v>
      </c>
      <c r="T62" s="4" t="s">
        <v>96</v>
      </c>
      <c r="U62" s="4" t="s">
        <v>668</v>
      </c>
    </row>
    <row r="63" customFormat="false" ht="169.4" hidden="false" customHeight="false" outlineLevel="0" collapsed="false">
      <c r="A63" s="4" t="s">
        <v>669</v>
      </c>
      <c r="B63" s="4" t="s">
        <v>670</v>
      </c>
      <c r="C63" s="4" t="s">
        <v>671</v>
      </c>
      <c r="D63" s="4" t="s">
        <v>645</v>
      </c>
      <c r="E63" s="4" t="s">
        <v>655</v>
      </c>
      <c r="F63" s="4" t="s">
        <v>672</v>
      </c>
      <c r="G63" s="4" t="s">
        <v>176</v>
      </c>
      <c r="H63" s="4"/>
      <c r="I63" s="4" t="s">
        <v>96</v>
      </c>
      <c r="J63" s="4" t="s">
        <v>96</v>
      </c>
      <c r="K63" s="4" t="s">
        <v>96</v>
      </c>
      <c r="L63" s="4" t="s">
        <v>96</v>
      </c>
      <c r="M63" s="4" t="s">
        <v>673</v>
      </c>
      <c r="N63" s="4" t="n">
        <v>1939</v>
      </c>
      <c r="O63" s="4" t="s">
        <v>96</v>
      </c>
      <c r="P63" s="4" t="s">
        <v>674</v>
      </c>
      <c r="Q63" s="4" t="s">
        <v>649</v>
      </c>
      <c r="R63" s="4" t="n">
        <v>2.85</v>
      </c>
      <c r="S63" s="4" t="n">
        <v>0</v>
      </c>
      <c r="T63" s="4" t="s">
        <v>96</v>
      </c>
      <c r="U63" s="4" t="s">
        <v>675</v>
      </c>
    </row>
    <row r="64" customFormat="false" ht="169.4" hidden="false" customHeight="false" outlineLevel="0" collapsed="false">
      <c r="A64" s="4" t="s">
        <v>650</v>
      </c>
      <c r="B64" s="4" t="s">
        <v>676</v>
      </c>
      <c r="C64" s="4" t="s">
        <v>677</v>
      </c>
      <c r="D64" s="4" t="s">
        <v>645</v>
      </c>
      <c r="E64" s="4" t="s">
        <v>655</v>
      </c>
      <c r="F64" s="4" t="s">
        <v>672</v>
      </c>
      <c r="G64" s="4" t="s">
        <v>176</v>
      </c>
      <c r="H64" s="4" t="n">
        <v>1907</v>
      </c>
      <c r="I64" s="4" t="s">
        <v>96</v>
      </c>
      <c r="J64" s="4" t="s">
        <v>96</v>
      </c>
      <c r="K64" s="4" t="s">
        <v>678</v>
      </c>
      <c r="L64" s="4" t="s">
        <v>96</v>
      </c>
      <c r="M64" s="4" t="s">
        <v>337</v>
      </c>
      <c r="N64" s="4"/>
      <c r="O64" s="4" t="s">
        <v>96</v>
      </c>
      <c r="P64" s="4"/>
      <c r="Q64" s="4" t="s">
        <v>649</v>
      </c>
      <c r="R64" s="4" t="n">
        <v>5.16</v>
      </c>
      <c r="S64" s="4" t="n">
        <v>0.02</v>
      </c>
      <c r="T64" s="4" t="s">
        <v>642</v>
      </c>
      <c r="U64" s="4" t="s">
        <v>679</v>
      </c>
    </row>
    <row r="65" customFormat="false" ht="169.4" hidden="false" customHeight="false" outlineLevel="0" collapsed="false">
      <c r="A65" s="4" t="s">
        <v>680</v>
      </c>
      <c r="B65" s="4" t="s">
        <v>681</v>
      </c>
      <c r="C65" s="4" t="s">
        <v>682</v>
      </c>
      <c r="D65" s="4" t="s">
        <v>632</v>
      </c>
      <c r="E65" s="4" t="s">
        <v>683</v>
      </c>
      <c r="F65" s="4" t="s">
        <v>684</v>
      </c>
      <c r="G65" s="4" t="s">
        <v>635</v>
      </c>
      <c r="H65" s="4" t="n">
        <v>1906</v>
      </c>
      <c r="I65" s="4" t="s">
        <v>96</v>
      </c>
      <c r="J65" s="4" t="s">
        <v>96</v>
      </c>
      <c r="K65" s="4" t="s">
        <v>685</v>
      </c>
      <c r="L65" s="4" t="s">
        <v>96</v>
      </c>
      <c r="M65" s="4" t="s">
        <v>686</v>
      </c>
      <c r="N65" s="4" t="n">
        <v>1923</v>
      </c>
      <c r="O65" s="4" t="s">
        <v>687</v>
      </c>
      <c r="P65" s="4" t="s">
        <v>688</v>
      </c>
      <c r="Q65" s="4" t="s">
        <v>689</v>
      </c>
      <c r="R65" s="4" t="n">
        <v>22.07</v>
      </c>
      <c r="S65" s="4" t="n">
        <v>0.03</v>
      </c>
      <c r="T65" s="4" t="s">
        <v>451</v>
      </c>
      <c r="U65" s="4" t="s">
        <v>690</v>
      </c>
    </row>
    <row r="66" customFormat="false" ht="158.2" hidden="false" customHeight="false" outlineLevel="0" collapsed="false">
      <c r="A66" s="4" t="s">
        <v>691</v>
      </c>
      <c r="B66" s="4" t="s">
        <v>692</v>
      </c>
      <c r="C66" s="4" t="s">
        <v>693</v>
      </c>
      <c r="D66" s="4" t="s">
        <v>236</v>
      </c>
      <c r="E66" s="4" t="s">
        <v>692</v>
      </c>
      <c r="F66" s="4" t="s">
        <v>96</v>
      </c>
      <c r="G66" s="4" t="s">
        <v>694</v>
      </c>
      <c r="H66" s="4" t="n">
        <v>1908</v>
      </c>
      <c r="I66" s="4" t="s">
        <v>96</v>
      </c>
      <c r="J66" s="4" t="s">
        <v>96</v>
      </c>
      <c r="K66" s="4" t="s">
        <v>392</v>
      </c>
      <c r="L66" s="4" t="s">
        <v>96</v>
      </c>
      <c r="M66" s="4" t="s">
        <v>695</v>
      </c>
      <c r="N66" s="4" t="n">
        <v>1935</v>
      </c>
      <c r="O66" s="4" t="s">
        <v>96</v>
      </c>
      <c r="P66" s="4" t="s">
        <v>696</v>
      </c>
      <c r="Q66" s="4" t="s">
        <v>295</v>
      </c>
      <c r="R66" s="4" t="n">
        <v>10.26</v>
      </c>
      <c r="S66" s="4" t="n">
        <v>3.91</v>
      </c>
      <c r="T66" s="4" t="s">
        <v>697</v>
      </c>
      <c r="U66" s="4" t="s">
        <v>698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5" min="3" style="0" width="9"/>
    <col collapsed="false" customWidth="true" hidden="false" outlineLevel="0" max="6" min="6" style="0" width="18"/>
    <col collapsed="false" customWidth="true" hidden="false" outlineLevel="0" max="7" min="7" style="0" width="50"/>
    <col collapsed="false" customWidth="true" hidden="false" outlineLevel="0" max="8" min="8" style="0" width="8"/>
    <col collapsed="false" customWidth="true" hidden="false" outlineLevel="0" max="10" min="9" style="0" width="26"/>
    <col collapsed="false" customWidth="true" hidden="false" outlineLevel="0" max="11" min="11" style="0" width="34"/>
  </cols>
  <sheetData>
    <row r="1" customFormat="false" ht="23.85" hidden="false" customHeight="false" outlineLevel="0" collapsed="false">
      <c r="A1" s="11" t="s">
        <v>699</v>
      </c>
      <c r="B1" s="11" t="s">
        <v>700</v>
      </c>
      <c r="C1" s="11" t="s">
        <v>701</v>
      </c>
      <c r="D1" s="11" t="s">
        <v>702</v>
      </c>
      <c r="E1" s="11" t="s">
        <v>703</v>
      </c>
      <c r="F1" s="11" t="s">
        <v>704</v>
      </c>
      <c r="G1" s="11" t="s">
        <v>705</v>
      </c>
      <c r="H1" s="11" t="s">
        <v>706</v>
      </c>
      <c r="I1" s="11" t="s">
        <v>707</v>
      </c>
      <c r="J1" s="11" t="s">
        <v>708</v>
      </c>
      <c r="K1" s="11" t="s">
        <v>709</v>
      </c>
    </row>
    <row r="2" customFormat="false" ht="46.25" hidden="false" customHeight="false" outlineLevel="0" collapsed="false">
      <c r="A2" s="4" t="s">
        <v>710</v>
      </c>
      <c r="B2" s="4" t="n">
        <v>100028</v>
      </c>
      <c r="C2" s="4" t="n">
        <v>2922</v>
      </c>
      <c r="D2" s="4" t="n">
        <v>1898</v>
      </c>
      <c r="E2" s="4" t="n">
        <v>1949</v>
      </c>
      <c r="F2" s="4" t="s">
        <v>242</v>
      </c>
      <c r="G2" s="4" t="s">
        <v>711</v>
      </c>
      <c r="H2" s="4" t="s">
        <v>712</v>
      </c>
      <c r="I2" s="4" t="s">
        <v>713</v>
      </c>
      <c r="J2" s="4" t="s">
        <v>714</v>
      </c>
      <c r="K2" s="4" t="s">
        <v>715</v>
      </c>
    </row>
    <row r="3" customFormat="false" ht="46.25" hidden="false" customHeight="false" outlineLevel="0" collapsed="false">
      <c r="A3" s="4" t="s">
        <v>716</v>
      </c>
      <c r="B3" s="4" t="n">
        <v>100422</v>
      </c>
      <c r="C3" s="4" t="n">
        <v>1040</v>
      </c>
      <c r="D3" s="4" t="n">
        <v>1898</v>
      </c>
      <c r="E3" s="4" t="n">
        <v>1949</v>
      </c>
      <c r="F3" s="4" t="s">
        <v>697</v>
      </c>
      <c r="G3" s="4" t="s">
        <v>717</v>
      </c>
      <c r="H3" s="4" t="s">
        <v>712</v>
      </c>
      <c r="I3" s="4" t="s">
        <v>718</v>
      </c>
      <c r="J3" s="4" t="s">
        <v>714</v>
      </c>
      <c r="K3" s="4" t="s">
        <v>719</v>
      </c>
    </row>
    <row r="4" customFormat="false" ht="46.25" hidden="false" customHeight="false" outlineLevel="0" collapsed="false">
      <c r="A4" s="4" t="s">
        <v>720</v>
      </c>
      <c r="B4" s="4" t="n">
        <v>100071</v>
      </c>
      <c r="C4" s="4" t="n">
        <v>945</v>
      </c>
      <c r="D4" s="4" t="n">
        <v>1872</v>
      </c>
      <c r="E4" s="4" t="n">
        <v>1935</v>
      </c>
      <c r="F4" s="4" t="s">
        <v>721</v>
      </c>
      <c r="G4" s="4" t="s">
        <v>722</v>
      </c>
      <c r="H4" s="4" t="s">
        <v>712</v>
      </c>
      <c r="I4" s="4" t="s">
        <v>718</v>
      </c>
      <c r="J4" s="4" t="s">
        <v>723</v>
      </c>
      <c r="K4" s="4" t="s">
        <v>724</v>
      </c>
    </row>
    <row r="5" customFormat="false" ht="46.25" hidden="false" customHeight="false" outlineLevel="0" collapsed="false">
      <c r="A5" s="4" t="s">
        <v>725</v>
      </c>
      <c r="B5" s="4" t="n">
        <v>100075</v>
      </c>
      <c r="C5" s="4" t="n">
        <v>869</v>
      </c>
      <c r="D5" s="4" t="n">
        <v>1875</v>
      </c>
      <c r="E5" s="4" t="n">
        <v>1962</v>
      </c>
      <c r="F5" s="4" t="s">
        <v>726</v>
      </c>
      <c r="G5" s="4" t="s">
        <v>727</v>
      </c>
      <c r="H5" s="4" t="s">
        <v>712</v>
      </c>
      <c r="I5" s="4" t="s">
        <v>728</v>
      </c>
      <c r="J5" s="4" t="s">
        <v>729</v>
      </c>
      <c r="K5" s="4" t="s">
        <v>730</v>
      </c>
    </row>
    <row r="6" customFormat="false" ht="46.25" hidden="false" customHeight="false" outlineLevel="0" collapsed="false">
      <c r="A6" s="4" t="s">
        <v>731</v>
      </c>
      <c r="B6" s="4" t="n">
        <v>100079</v>
      </c>
      <c r="C6" s="4" t="n">
        <v>819</v>
      </c>
      <c r="D6" s="4" t="n">
        <v>1875</v>
      </c>
      <c r="E6" s="4" t="n">
        <v>1961</v>
      </c>
      <c r="F6" s="4" t="s">
        <v>732</v>
      </c>
      <c r="G6" s="4" t="s">
        <v>733</v>
      </c>
      <c r="H6" s="4" t="s">
        <v>712</v>
      </c>
      <c r="I6" s="4" t="s">
        <v>718</v>
      </c>
      <c r="J6" s="4" t="s">
        <v>734</v>
      </c>
      <c r="K6" s="4" t="s">
        <v>735</v>
      </c>
    </row>
    <row r="7" customFormat="false" ht="46.25" hidden="false" customHeight="false" outlineLevel="0" collapsed="false">
      <c r="A7" s="4" t="s">
        <v>736</v>
      </c>
      <c r="B7" s="4" t="n">
        <v>100084</v>
      </c>
      <c r="C7" s="4" t="n">
        <v>786</v>
      </c>
      <c r="D7" s="4" t="n">
        <v>1872</v>
      </c>
      <c r="E7" s="4" t="n">
        <v>1935</v>
      </c>
      <c r="F7" s="4" t="s">
        <v>721</v>
      </c>
      <c r="G7" s="4" t="s">
        <v>722</v>
      </c>
      <c r="H7" s="4" t="s">
        <v>712</v>
      </c>
      <c r="I7" s="4" t="s">
        <v>718</v>
      </c>
      <c r="J7" s="4" t="s">
        <v>723</v>
      </c>
      <c r="K7" s="4" t="s">
        <v>737</v>
      </c>
    </row>
    <row r="8" customFormat="false" ht="46.25" hidden="false" customHeight="false" outlineLevel="0" collapsed="false">
      <c r="A8" s="4" t="s">
        <v>738</v>
      </c>
      <c r="B8" s="4" t="n">
        <v>100089</v>
      </c>
      <c r="C8" s="4" t="n">
        <v>762</v>
      </c>
      <c r="D8" s="4" t="n">
        <v>1862</v>
      </c>
      <c r="E8" s="4" t="n">
        <v>1960</v>
      </c>
      <c r="F8" s="4" t="s">
        <v>739</v>
      </c>
      <c r="G8" s="4" t="s">
        <v>740</v>
      </c>
      <c r="H8" s="4" t="s">
        <v>712</v>
      </c>
      <c r="I8" s="4" t="s">
        <v>741</v>
      </c>
      <c r="J8" s="4" t="s">
        <v>742</v>
      </c>
      <c r="K8" s="4" t="s">
        <v>743</v>
      </c>
    </row>
    <row r="9" customFormat="false" ht="46.25" hidden="false" customHeight="false" outlineLevel="0" collapsed="false">
      <c r="A9" s="4" t="s">
        <v>744</v>
      </c>
      <c r="B9" s="4" t="n">
        <v>100125</v>
      </c>
      <c r="C9" s="4" t="n">
        <v>540</v>
      </c>
      <c r="D9" s="4" t="n">
        <v>1862</v>
      </c>
      <c r="E9" s="4" t="n">
        <v>1962</v>
      </c>
      <c r="F9" s="4" t="s">
        <v>745</v>
      </c>
      <c r="G9" s="4" t="s">
        <v>746</v>
      </c>
      <c r="H9" s="4" t="s">
        <v>712</v>
      </c>
      <c r="I9" s="4" t="s">
        <v>747</v>
      </c>
      <c r="J9" s="4" t="s">
        <v>748</v>
      </c>
      <c r="K9" s="4" t="s">
        <v>749</v>
      </c>
    </row>
    <row r="10" customFormat="false" ht="46.25" hidden="false" customHeight="false" outlineLevel="0" collapsed="false">
      <c r="A10" s="4" t="s">
        <v>750</v>
      </c>
      <c r="B10" s="4" t="n">
        <v>100129</v>
      </c>
      <c r="C10" s="4" t="n">
        <v>532</v>
      </c>
      <c r="D10" s="4" t="n">
        <v>1862</v>
      </c>
      <c r="E10" s="4" t="n">
        <v>1962</v>
      </c>
      <c r="F10" s="4" t="s">
        <v>751</v>
      </c>
      <c r="G10" s="4" t="s">
        <v>752</v>
      </c>
      <c r="H10" s="4" t="s">
        <v>712</v>
      </c>
      <c r="I10" s="4" t="s">
        <v>747</v>
      </c>
      <c r="J10" s="4" t="s">
        <v>748</v>
      </c>
      <c r="K10" s="4" t="s">
        <v>753</v>
      </c>
    </row>
    <row r="11" customFormat="false" ht="46.25" hidden="false" customHeight="false" outlineLevel="0" collapsed="false">
      <c r="A11" s="4" t="s">
        <v>754</v>
      </c>
      <c r="B11" s="4" t="n">
        <v>100138</v>
      </c>
      <c r="C11" s="4" t="n">
        <v>501</v>
      </c>
      <c r="D11" s="4" t="n">
        <v>1889</v>
      </c>
      <c r="E11" s="4" t="n">
        <v>1958</v>
      </c>
      <c r="F11" s="4" t="s">
        <v>755</v>
      </c>
      <c r="G11" s="4" t="s">
        <v>756</v>
      </c>
      <c r="H11" s="4" t="s">
        <v>712</v>
      </c>
      <c r="I11" s="4" t="s">
        <v>718</v>
      </c>
      <c r="J11" s="4" t="s">
        <v>757</v>
      </c>
      <c r="K11" s="4" t="s">
        <v>758</v>
      </c>
    </row>
    <row r="12" customFormat="false" ht="46.25" hidden="false" customHeight="false" outlineLevel="0" collapsed="false">
      <c r="A12" s="4" t="s">
        <v>759</v>
      </c>
      <c r="B12" s="4" t="n">
        <v>100012</v>
      </c>
      <c r="C12" s="4" t="n">
        <v>495</v>
      </c>
      <c r="D12" s="4" t="n">
        <v>1898</v>
      </c>
      <c r="E12" s="4" t="n">
        <v>1949</v>
      </c>
      <c r="F12" s="4" t="s">
        <v>760</v>
      </c>
      <c r="G12" s="4" t="s">
        <v>761</v>
      </c>
      <c r="H12" s="4" t="s">
        <v>712</v>
      </c>
      <c r="I12" s="4" t="s">
        <v>713</v>
      </c>
      <c r="J12" s="4" t="s">
        <v>714</v>
      </c>
      <c r="K12" s="4" t="s">
        <v>762</v>
      </c>
    </row>
    <row r="13" customFormat="false" ht="46.25" hidden="false" customHeight="false" outlineLevel="0" collapsed="false">
      <c r="A13" s="4" t="s">
        <v>763</v>
      </c>
      <c r="B13" s="4" t="n">
        <v>100143</v>
      </c>
      <c r="C13" s="4" t="n">
        <v>494</v>
      </c>
      <c r="D13" s="4" t="n">
        <v>1898</v>
      </c>
      <c r="E13" s="4" t="n">
        <v>1949</v>
      </c>
      <c r="F13" s="4" t="s">
        <v>242</v>
      </c>
      <c r="G13" s="4" t="s">
        <v>711</v>
      </c>
      <c r="H13" s="4" t="s">
        <v>712</v>
      </c>
      <c r="I13" s="4" t="s">
        <v>713</v>
      </c>
      <c r="J13" s="4" t="s">
        <v>714</v>
      </c>
      <c r="K13" s="4" t="s">
        <v>715</v>
      </c>
    </row>
    <row r="14" customFormat="false" ht="46.25" hidden="false" customHeight="false" outlineLevel="0" collapsed="false">
      <c r="A14" s="4" t="s">
        <v>764</v>
      </c>
      <c r="B14" s="4" t="n">
        <v>100162</v>
      </c>
      <c r="C14" s="4" t="n">
        <v>418</v>
      </c>
      <c r="D14" s="4" t="n">
        <v>1896</v>
      </c>
      <c r="E14" s="4" t="n">
        <v>1960</v>
      </c>
      <c r="F14" s="4" t="s">
        <v>765</v>
      </c>
      <c r="G14" s="4" t="s">
        <v>766</v>
      </c>
      <c r="H14" s="4" t="s">
        <v>712</v>
      </c>
      <c r="I14" s="4" t="s">
        <v>718</v>
      </c>
      <c r="J14" s="4" t="s">
        <v>767</v>
      </c>
      <c r="K14" s="4" t="s">
        <v>768</v>
      </c>
    </row>
    <row r="15" customFormat="false" ht="46.25" hidden="false" customHeight="false" outlineLevel="0" collapsed="false">
      <c r="A15" s="4" t="s">
        <v>769</v>
      </c>
      <c r="B15" s="4" t="n">
        <v>100171</v>
      </c>
      <c r="C15" s="4" t="n">
        <v>408</v>
      </c>
      <c r="D15" s="4" t="n">
        <v>1889</v>
      </c>
      <c r="E15" s="4" t="n">
        <v>1958</v>
      </c>
      <c r="F15" s="4" t="s">
        <v>755</v>
      </c>
      <c r="G15" s="4" t="s">
        <v>756</v>
      </c>
      <c r="H15" s="4" t="s">
        <v>712</v>
      </c>
      <c r="I15" s="4" t="s">
        <v>718</v>
      </c>
      <c r="J15" s="4" t="s">
        <v>757</v>
      </c>
      <c r="K15" s="4" t="s">
        <v>758</v>
      </c>
    </row>
    <row r="16" customFormat="false" ht="57.45" hidden="false" customHeight="false" outlineLevel="0" collapsed="false">
      <c r="A16" s="4" t="s">
        <v>770</v>
      </c>
      <c r="B16" s="4" t="n">
        <v>100170</v>
      </c>
      <c r="C16" s="4" t="n">
        <v>389</v>
      </c>
      <c r="D16" s="4" t="n">
        <v>1875</v>
      </c>
      <c r="E16" s="4" t="n">
        <v>1933</v>
      </c>
      <c r="F16" s="4" t="s">
        <v>771</v>
      </c>
      <c r="G16" s="4" t="s">
        <v>772</v>
      </c>
      <c r="H16" s="4" t="s">
        <v>712</v>
      </c>
      <c r="I16" s="4" t="s">
        <v>718</v>
      </c>
      <c r="J16" s="4" t="s">
        <v>773</v>
      </c>
      <c r="K16" s="4" t="s">
        <v>774</v>
      </c>
    </row>
    <row r="17" customFormat="false" ht="46.25" hidden="false" customHeight="false" outlineLevel="0" collapsed="false">
      <c r="A17" s="4" t="s">
        <v>775</v>
      </c>
      <c r="B17" s="4" t="n">
        <v>100197</v>
      </c>
      <c r="C17" s="4" t="n">
        <v>319</v>
      </c>
      <c r="D17" s="4" t="n">
        <v>1862</v>
      </c>
      <c r="E17" s="4" t="n">
        <v>1962</v>
      </c>
      <c r="F17" s="4" t="s">
        <v>751</v>
      </c>
      <c r="G17" s="4" t="s">
        <v>752</v>
      </c>
      <c r="H17" s="4" t="s">
        <v>712</v>
      </c>
      <c r="I17" s="4" t="s">
        <v>747</v>
      </c>
      <c r="J17" s="4" t="s">
        <v>748</v>
      </c>
      <c r="K17" s="4" t="s">
        <v>753</v>
      </c>
    </row>
    <row r="18" customFormat="false" ht="46.25" hidden="false" customHeight="false" outlineLevel="0" collapsed="false">
      <c r="A18" s="4" t="s">
        <v>776</v>
      </c>
      <c r="B18" s="4" t="n">
        <v>100208</v>
      </c>
      <c r="C18" s="4" t="n">
        <v>310</v>
      </c>
      <c r="D18" s="4" t="n">
        <v>1896</v>
      </c>
      <c r="E18" s="4" t="n">
        <v>1960</v>
      </c>
      <c r="F18" s="4" t="s">
        <v>765</v>
      </c>
      <c r="G18" s="4" t="s">
        <v>766</v>
      </c>
      <c r="H18" s="4" t="s">
        <v>712</v>
      </c>
      <c r="I18" s="4" t="s">
        <v>718</v>
      </c>
      <c r="J18" s="4" t="s">
        <v>767</v>
      </c>
      <c r="K18" s="4" t="s">
        <v>768</v>
      </c>
    </row>
    <row r="19" customFormat="false" ht="46.25" hidden="false" customHeight="false" outlineLevel="0" collapsed="false">
      <c r="A19" s="4" t="s">
        <v>777</v>
      </c>
      <c r="B19" s="4" t="n">
        <v>100205</v>
      </c>
      <c r="C19" s="4" t="n">
        <v>306</v>
      </c>
      <c r="D19" s="4" t="n">
        <v>1896</v>
      </c>
      <c r="E19" s="4" t="n">
        <v>1935</v>
      </c>
      <c r="F19" s="4" t="s">
        <v>778</v>
      </c>
      <c r="G19" s="4" t="s">
        <v>779</v>
      </c>
      <c r="H19" s="4" t="s">
        <v>712</v>
      </c>
      <c r="I19" s="4" t="s">
        <v>718</v>
      </c>
      <c r="J19" s="4" t="s">
        <v>780</v>
      </c>
      <c r="K19" s="4" t="s">
        <v>781</v>
      </c>
    </row>
    <row r="20" customFormat="false" ht="57.45" hidden="false" customHeight="false" outlineLevel="0" collapsed="false">
      <c r="A20" s="4" t="s">
        <v>782</v>
      </c>
      <c r="B20" s="4" t="n">
        <v>100206</v>
      </c>
      <c r="C20" s="4" t="n">
        <v>305</v>
      </c>
      <c r="D20" s="4" t="n">
        <v>1862</v>
      </c>
      <c r="E20" s="4" t="n">
        <v>1901</v>
      </c>
      <c r="F20" s="4" t="s">
        <v>783</v>
      </c>
      <c r="G20" s="4" t="s">
        <v>784</v>
      </c>
      <c r="H20" s="4" t="s">
        <v>712</v>
      </c>
      <c r="I20" s="4" t="s">
        <v>741</v>
      </c>
      <c r="J20" s="4" t="s">
        <v>785</v>
      </c>
      <c r="K20" s="4" t="s">
        <v>786</v>
      </c>
    </row>
    <row r="21" customFormat="false" ht="57.45" hidden="false" customHeight="false" outlineLevel="0" collapsed="false">
      <c r="A21" s="4" t="s">
        <v>787</v>
      </c>
      <c r="B21" s="4" t="n">
        <v>100231</v>
      </c>
      <c r="C21" s="4" t="n">
        <v>290</v>
      </c>
      <c r="D21" s="4" t="n">
        <v>1862</v>
      </c>
      <c r="E21" s="4" t="n">
        <v>1935</v>
      </c>
      <c r="F21" s="4" t="s">
        <v>783</v>
      </c>
      <c r="G21" s="4" t="s">
        <v>784</v>
      </c>
      <c r="H21" s="4" t="s">
        <v>712</v>
      </c>
      <c r="I21" s="4" t="s">
        <v>741</v>
      </c>
      <c r="J21" s="4" t="s">
        <v>788</v>
      </c>
      <c r="K21" s="4" t="s">
        <v>789</v>
      </c>
    </row>
    <row r="22" customFormat="false" ht="46.25" hidden="false" customHeight="false" outlineLevel="0" collapsed="false">
      <c r="A22" s="4" t="s">
        <v>790</v>
      </c>
      <c r="B22" s="4" t="n">
        <v>100264</v>
      </c>
      <c r="C22" s="4" t="n">
        <v>276</v>
      </c>
      <c r="D22" s="4" t="n">
        <v>1896</v>
      </c>
      <c r="E22" s="4" t="n">
        <v>1935</v>
      </c>
      <c r="F22" s="4" t="s">
        <v>778</v>
      </c>
      <c r="G22" s="4" t="s">
        <v>779</v>
      </c>
      <c r="H22" s="4" t="s">
        <v>712</v>
      </c>
      <c r="I22" s="4" t="s">
        <v>718</v>
      </c>
      <c r="J22" s="4" t="s">
        <v>780</v>
      </c>
      <c r="K22" s="4" t="s">
        <v>781</v>
      </c>
    </row>
    <row r="23" customFormat="false" ht="46.25" hidden="false" customHeight="false" outlineLevel="0" collapsed="false">
      <c r="A23" s="4" t="s">
        <v>791</v>
      </c>
      <c r="B23" s="4" t="n">
        <v>100223</v>
      </c>
      <c r="C23" s="4" t="n">
        <v>268</v>
      </c>
      <c r="D23" s="4" t="n">
        <v>1896</v>
      </c>
      <c r="E23" s="4" t="n">
        <v>1960</v>
      </c>
      <c r="F23" s="4" t="s">
        <v>792</v>
      </c>
      <c r="G23" s="4" t="s">
        <v>793</v>
      </c>
      <c r="H23" s="4" t="s">
        <v>712</v>
      </c>
      <c r="I23" s="4" t="s">
        <v>713</v>
      </c>
      <c r="J23" s="4" t="s">
        <v>767</v>
      </c>
      <c r="K23" s="4" t="s">
        <v>794</v>
      </c>
    </row>
    <row r="24" customFormat="false" ht="46.25" hidden="false" customHeight="false" outlineLevel="0" collapsed="false">
      <c r="A24" s="4" t="s">
        <v>795</v>
      </c>
      <c r="B24" s="4" t="n">
        <v>100245</v>
      </c>
      <c r="C24" s="4" t="n">
        <v>259</v>
      </c>
      <c r="D24" s="4" t="n">
        <v>1873</v>
      </c>
      <c r="E24" s="4" t="n">
        <v>1960</v>
      </c>
      <c r="F24" s="4" t="s">
        <v>765</v>
      </c>
      <c r="G24" s="4" t="s">
        <v>766</v>
      </c>
      <c r="H24" s="4" t="s">
        <v>712</v>
      </c>
      <c r="I24" s="4" t="s">
        <v>718</v>
      </c>
      <c r="J24" s="4" t="s">
        <v>796</v>
      </c>
      <c r="K24" s="4" t="s">
        <v>797</v>
      </c>
    </row>
    <row r="25" customFormat="false" ht="46.25" hidden="false" customHeight="false" outlineLevel="0" collapsed="false">
      <c r="A25" s="4" t="s">
        <v>798</v>
      </c>
      <c r="B25" s="4" t="n">
        <v>100438</v>
      </c>
      <c r="C25" s="4" t="n">
        <v>251</v>
      </c>
      <c r="D25" s="4" t="n">
        <v>1873</v>
      </c>
      <c r="E25" s="4" t="n">
        <v>1960</v>
      </c>
      <c r="F25" s="4" t="s">
        <v>765</v>
      </c>
      <c r="G25" s="4" t="s">
        <v>766</v>
      </c>
      <c r="H25" s="4" t="s">
        <v>712</v>
      </c>
      <c r="I25" s="4" t="s">
        <v>718</v>
      </c>
      <c r="J25" s="4" t="s">
        <v>796</v>
      </c>
      <c r="K25" s="4" t="s">
        <v>797</v>
      </c>
    </row>
    <row r="26" customFormat="false" ht="46.25" hidden="false" customHeight="false" outlineLevel="0" collapsed="false">
      <c r="A26" s="4" t="s">
        <v>799</v>
      </c>
      <c r="B26" s="4" t="n">
        <v>100236</v>
      </c>
      <c r="C26" s="4" t="n">
        <v>247</v>
      </c>
      <c r="D26" s="4" t="n">
        <v>1872</v>
      </c>
      <c r="E26" s="4" t="n">
        <v>1962</v>
      </c>
      <c r="F26" s="4" t="s">
        <v>800</v>
      </c>
      <c r="G26" s="4" t="s">
        <v>801</v>
      </c>
      <c r="H26" s="4" t="s">
        <v>712</v>
      </c>
      <c r="I26" s="4" t="s">
        <v>741</v>
      </c>
      <c r="J26" s="4" t="s">
        <v>802</v>
      </c>
      <c r="K26" s="4" t="s">
        <v>803</v>
      </c>
    </row>
    <row r="27" customFormat="false" ht="46.25" hidden="false" customHeight="false" outlineLevel="0" collapsed="false">
      <c r="A27" s="4" t="s">
        <v>804</v>
      </c>
      <c r="B27" s="4" t="n">
        <v>100244</v>
      </c>
      <c r="C27" s="4" t="n">
        <v>242</v>
      </c>
      <c r="D27" s="4" t="n">
        <v>1900</v>
      </c>
      <c r="E27" s="4" t="n">
        <v>1958</v>
      </c>
      <c r="F27" s="4" t="s">
        <v>805</v>
      </c>
      <c r="G27" s="4" t="s">
        <v>806</v>
      </c>
      <c r="H27" s="4" t="s">
        <v>712</v>
      </c>
      <c r="I27" s="4" t="s">
        <v>718</v>
      </c>
      <c r="J27" s="4" t="s">
        <v>807</v>
      </c>
      <c r="K27" s="4" t="s">
        <v>808</v>
      </c>
    </row>
    <row r="28" customFormat="false" ht="57.45" hidden="false" customHeight="false" outlineLevel="0" collapsed="false">
      <c r="A28" s="4" t="s">
        <v>809</v>
      </c>
      <c r="B28" s="4" t="n">
        <v>100238</v>
      </c>
      <c r="C28" s="4" t="n">
        <v>233</v>
      </c>
      <c r="D28" s="4" t="n">
        <v>1875</v>
      </c>
      <c r="E28" s="4" t="n">
        <v>1933</v>
      </c>
      <c r="F28" s="4" t="s">
        <v>771</v>
      </c>
      <c r="G28" s="4" t="s">
        <v>772</v>
      </c>
      <c r="H28" s="4" t="s">
        <v>712</v>
      </c>
      <c r="I28" s="4" t="s">
        <v>718</v>
      </c>
      <c r="J28" s="4" t="s">
        <v>773</v>
      </c>
      <c r="K28" s="4" t="s">
        <v>774</v>
      </c>
    </row>
    <row r="29" customFormat="false" ht="46.25" hidden="false" customHeight="false" outlineLevel="0" collapsed="false">
      <c r="A29" s="4" t="s">
        <v>810</v>
      </c>
      <c r="B29" s="4" t="n">
        <v>100249</v>
      </c>
      <c r="C29" s="4" t="n">
        <v>228</v>
      </c>
      <c r="D29" s="4" t="n">
        <v>1872</v>
      </c>
      <c r="E29" s="4" t="n">
        <v>1962</v>
      </c>
      <c r="F29" s="4" t="s">
        <v>811</v>
      </c>
      <c r="G29" s="4" t="s">
        <v>812</v>
      </c>
      <c r="H29" s="4" t="s">
        <v>712</v>
      </c>
      <c r="I29" s="4" t="s">
        <v>741</v>
      </c>
      <c r="J29" s="4" t="s">
        <v>802</v>
      </c>
      <c r="K29" s="4" t="s">
        <v>813</v>
      </c>
    </row>
    <row r="30" customFormat="false" ht="46.25" hidden="false" customHeight="false" outlineLevel="0" collapsed="false">
      <c r="A30" s="4" t="s">
        <v>814</v>
      </c>
      <c r="B30" s="4" t="n">
        <v>100261</v>
      </c>
      <c r="C30" s="4" t="n">
        <v>205</v>
      </c>
      <c r="D30" s="4" t="n">
        <v>1890</v>
      </c>
      <c r="E30" s="4" t="n">
        <v>1962</v>
      </c>
      <c r="F30" s="4" t="s">
        <v>815</v>
      </c>
      <c r="G30" s="4" t="s">
        <v>816</v>
      </c>
      <c r="H30" s="4" t="s">
        <v>712</v>
      </c>
      <c r="I30" s="4" t="s">
        <v>741</v>
      </c>
      <c r="J30" s="4" t="s">
        <v>817</v>
      </c>
      <c r="K30" s="4" t="s">
        <v>818</v>
      </c>
    </row>
    <row r="31" customFormat="false" ht="46.25" hidden="false" customHeight="false" outlineLevel="0" collapsed="false">
      <c r="A31" s="4" t="s">
        <v>819</v>
      </c>
      <c r="B31" s="4" t="n">
        <v>100265</v>
      </c>
      <c r="C31" s="4" t="n">
        <v>195</v>
      </c>
      <c r="D31" s="4" t="n">
        <v>1862</v>
      </c>
      <c r="E31" s="4" t="n">
        <v>1962</v>
      </c>
      <c r="F31" s="4" t="s">
        <v>820</v>
      </c>
      <c r="G31" s="4" t="s">
        <v>821</v>
      </c>
      <c r="H31" s="4" t="s">
        <v>712</v>
      </c>
      <c r="I31" s="4" t="s">
        <v>741</v>
      </c>
      <c r="J31" s="4" t="s">
        <v>748</v>
      </c>
      <c r="K31" s="4" t="s">
        <v>822</v>
      </c>
    </row>
    <row r="32" customFormat="false" ht="46.25" hidden="false" customHeight="false" outlineLevel="0" collapsed="false">
      <c r="A32" s="4" t="s">
        <v>823</v>
      </c>
      <c r="B32" s="4" t="n">
        <v>100278</v>
      </c>
      <c r="C32" s="4" t="n">
        <v>176</v>
      </c>
      <c r="D32" s="4" t="n">
        <v>1895</v>
      </c>
      <c r="E32" s="4" t="n">
        <v>1962</v>
      </c>
      <c r="F32" s="4" t="s">
        <v>824</v>
      </c>
      <c r="G32" s="4" t="s">
        <v>825</v>
      </c>
      <c r="H32" s="4" t="s">
        <v>712</v>
      </c>
      <c r="I32" s="4" t="s">
        <v>728</v>
      </c>
      <c r="J32" s="4" t="s">
        <v>826</v>
      </c>
      <c r="K32" s="4" t="s">
        <v>827</v>
      </c>
    </row>
    <row r="33" customFormat="false" ht="46.25" hidden="false" customHeight="false" outlineLevel="0" collapsed="false">
      <c r="A33" s="4" t="s">
        <v>828</v>
      </c>
      <c r="B33" s="4" t="n">
        <v>100279</v>
      </c>
      <c r="C33" s="4" t="n">
        <v>174</v>
      </c>
      <c r="D33" s="4" t="n">
        <v>1873</v>
      </c>
      <c r="E33" s="4" t="n">
        <v>1960</v>
      </c>
      <c r="F33" s="4" t="s">
        <v>765</v>
      </c>
      <c r="G33" s="4" t="s">
        <v>766</v>
      </c>
      <c r="H33" s="4" t="s">
        <v>712</v>
      </c>
      <c r="I33" s="4" t="s">
        <v>718</v>
      </c>
      <c r="J33" s="4" t="s">
        <v>796</v>
      </c>
      <c r="K33" s="4" t="s">
        <v>797</v>
      </c>
    </row>
    <row r="34" customFormat="false" ht="46.25" hidden="false" customHeight="false" outlineLevel="0" collapsed="false">
      <c r="A34" s="4" t="s">
        <v>829</v>
      </c>
      <c r="B34" s="4" t="n">
        <v>100281</v>
      </c>
      <c r="C34" s="4" t="n">
        <v>172</v>
      </c>
      <c r="D34" s="4" t="n">
        <v>1862</v>
      </c>
      <c r="E34" s="4" t="n">
        <v>1962</v>
      </c>
      <c r="F34" s="4" t="s">
        <v>830</v>
      </c>
      <c r="G34" s="4" t="s">
        <v>831</v>
      </c>
      <c r="H34" s="4" t="s">
        <v>712</v>
      </c>
      <c r="I34" s="4" t="s">
        <v>747</v>
      </c>
      <c r="J34" s="4" t="s">
        <v>748</v>
      </c>
      <c r="K34" s="4" t="s">
        <v>832</v>
      </c>
    </row>
    <row r="35" customFormat="false" ht="46.25" hidden="false" customHeight="false" outlineLevel="0" collapsed="false">
      <c r="A35" s="4" t="s">
        <v>833</v>
      </c>
      <c r="B35" s="4" t="n">
        <v>100286</v>
      </c>
      <c r="C35" s="4" t="n">
        <v>168</v>
      </c>
      <c r="D35" s="4" t="n">
        <v>1873</v>
      </c>
      <c r="E35" s="4" t="n">
        <v>1960</v>
      </c>
      <c r="F35" s="4" t="s">
        <v>834</v>
      </c>
      <c r="G35" s="4" t="s">
        <v>835</v>
      </c>
      <c r="H35" s="4" t="s">
        <v>712</v>
      </c>
      <c r="I35" s="4" t="s">
        <v>718</v>
      </c>
      <c r="J35" s="4" t="s">
        <v>796</v>
      </c>
      <c r="K35" s="4" t="s">
        <v>836</v>
      </c>
    </row>
    <row r="36" customFormat="false" ht="46.25" hidden="false" customHeight="false" outlineLevel="0" collapsed="false">
      <c r="A36" s="4" t="s">
        <v>837</v>
      </c>
      <c r="B36" s="4" t="n">
        <v>100313</v>
      </c>
      <c r="C36" s="4" t="n">
        <v>167</v>
      </c>
      <c r="D36" s="4" t="n">
        <v>1862</v>
      </c>
      <c r="E36" s="4" t="n">
        <v>1960</v>
      </c>
      <c r="F36" s="4" t="s">
        <v>739</v>
      </c>
      <c r="G36" s="4" t="s">
        <v>740</v>
      </c>
      <c r="H36" s="4" t="s">
        <v>712</v>
      </c>
      <c r="I36" s="4" t="s">
        <v>741</v>
      </c>
      <c r="J36" s="4" t="s">
        <v>742</v>
      </c>
      <c r="K36" s="4" t="s">
        <v>743</v>
      </c>
    </row>
    <row r="37" customFormat="false" ht="46.25" hidden="false" customHeight="false" outlineLevel="0" collapsed="false">
      <c r="A37" s="4" t="s">
        <v>838</v>
      </c>
      <c r="B37" s="4" t="n">
        <v>100289</v>
      </c>
      <c r="C37" s="4" t="n">
        <v>165</v>
      </c>
      <c r="D37" s="4" t="n">
        <v>1872</v>
      </c>
      <c r="E37" s="4" t="n">
        <v>1960</v>
      </c>
      <c r="F37" s="4" t="s">
        <v>839</v>
      </c>
      <c r="G37" s="4" t="s">
        <v>840</v>
      </c>
      <c r="H37" s="4" t="s">
        <v>712</v>
      </c>
      <c r="I37" s="4" t="s">
        <v>741</v>
      </c>
      <c r="J37" s="4" t="s">
        <v>841</v>
      </c>
      <c r="K37" s="4" t="s">
        <v>842</v>
      </c>
    </row>
    <row r="38" customFormat="false" ht="46.25" hidden="false" customHeight="false" outlineLevel="0" collapsed="false">
      <c r="A38" s="4" t="s">
        <v>843</v>
      </c>
      <c r="B38" s="4" t="n">
        <v>100290</v>
      </c>
      <c r="C38" s="4" t="n">
        <v>165</v>
      </c>
      <c r="D38" s="4" t="n">
        <v>1875</v>
      </c>
      <c r="E38" s="4" t="n">
        <v>1961</v>
      </c>
      <c r="F38" s="4" t="s">
        <v>732</v>
      </c>
      <c r="G38" s="4" t="s">
        <v>733</v>
      </c>
      <c r="H38" s="4" t="s">
        <v>712</v>
      </c>
      <c r="I38" s="4" t="s">
        <v>718</v>
      </c>
      <c r="J38" s="4" t="s">
        <v>734</v>
      </c>
      <c r="K38" s="4" t="s">
        <v>735</v>
      </c>
    </row>
    <row r="39" customFormat="false" ht="46.25" hidden="false" customHeight="false" outlineLevel="0" collapsed="false">
      <c r="A39" s="4" t="s">
        <v>844</v>
      </c>
      <c r="B39" s="4" t="n">
        <v>100291</v>
      </c>
      <c r="C39" s="4" t="n">
        <v>164</v>
      </c>
      <c r="D39" s="4" t="n">
        <v>1862</v>
      </c>
      <c r="E39" s="4" t="n">
        <v>1962</v>
      </c>
      <c r="F39" s="4" t="s">
        <v>845</v>
      </c>
      <c r="G39" s="4" t="s">
        <v>846</v>
      </c>
      <c r="H39" s="4" t="s">
        <v>712</v>
      </c>
      <c r="I39" s="4" t="s">
        <v>741</v>
      </c>
      <c r="J39" s="4" t="s">
        <v>748</v>
      </c>
      <c r="K39" s="4" t="s">
        <v>847</v>
      </c>
    </row>
    <row r="40" customFormat="false" ht="46.25" hidden="false" customHeight="false" outlineLevel="0" collapsed="false">
      <c r="A40" s="4" t="s">
        <v>848</v>
      </c>
      <c r="B40" s="4" t="n">
        <v>100303</v>
      </c>
      <c r="C40" s="4" t="n">
        <v>150</v>
      </c>
      <c r="D40" s="4" t="n">
        <v>1875</v>
      </c>
      <c r="E40" s="4" t="n">
        <v>1961</v>
      </c>
      <c r="F40" s="4" t="s">
        <v>732</v>
      </c>
      <c r="G40" s="4" t="s">
        <v>733</v>
      </c>
      <c r="H40" s="4" t="s">
        <v>712</v>
      </c>
      <c r="I40" s="4" t="s">
        <v>718</v>
      </c>
      <c r="J40" s="4" t="s">
        <v>734</v>
      </c>
      <c r="K40" s="4" t="s">
        <v>735</v>
      </c>
    </row>
    <row r="41" customFormat="false" ht="46.25" hidden="false" customHeight="false" outlineLevel="0" collapsed="false">
      <c r="A41" s="4" t="s">
        <v>849</v>
      </c>
      <c r="B41" s="4" t="n">
        <v>100314</v>
      </c>
      <c r="C41" s="4" t="n">
        <v>139</v>
      </c>
      <c r="D41" s="4" t="n">
        <v>1875</v>
      </c>
      <c r="E41" s="4" t="n">
        <v>1961</v>
      </c>
      <c r="F41" s="4" t="s">
        <v>732</v>
      </c>
      <c r="G41" s="4" t="s">
        <v>733</v>
      </c>
      <c r="H41" s="4" t="s">
        <v>712</v>
      </c>
      <c r="I41" s="4" t="s">
        <v>718</v>
      </c>
      <c r="J41" s="4" t="s">
        <v>734</v>
      </c>
      <c r="K41" s="4" t="s">
        <v>735</v>
      </c>
    </row>
    <row r="42" customFormat="false" ht="46.25" hidden="false" customHeight="false" outlineLevel="0" collapsed="false">
      <c r="A42" s="4" t="s">
        <v>850</v>
      </c>
      <c r="B42" s="4" t="n">
        <v>100317</v>
      </c>
      <c r="C42" s="4" t="n">
        <v>137</v>
      </c>
      <c r="D42" s="4" t="n">
        <v>1862</v>
      </c>
      <c r="E42" s="4" t="n">
        <v>1962</v>
      </c>
      <c r="F42" s="4" t="s">
        <v>851</v>
      </c>
      <c r="G42" s="4" t="s">
        <v>852</v>
      </c>
      <c r="H42" s="4" t="s">
        <v>712</v>
      </c>
      <c r="I42" s="4" t="s">
        <v>747</v>
      </c>
      <c r="J42" s="4" t="s">
        <v>748</v>
      </c>
      <c r="K42" s="4" t="s">
        <v>853</v>
      </c>
    </row>
    <row r="43" customFormat="false" ht="57.45" hidden="false" customHeight="false" outlineLevel="0" collapsed="false">
      <c r="A43" s="4" t="s">
        <v>854</v>
      </c>
      <c r="B43" s="4" t="n">
        <v>100318</v>
      </c>
      <c r="C43" s="4" t="n">
        <v>136</v>
      </c>
      <c r="D43" s="4" t="n">
        <v>1888</v>
      </c>
      <c r="E43" s="4" t="n">
        <v>1958</v>
      </c>
      <c r="F43" s="4" t="s">
        <v>855</v>
      </c>
      <c r="G43" s="4" t="s">
        <v>856</v>
      </c>
      <c r="H43" s="4" t="s">
        <v>712</v>
      </c>
      <c r="I43" s="4" t="s">
        <v>718</v>
      </c>
      <c r="J43" s="4" t="s">
        <v>857</v>
      </c>
      <c r="K43" s="4" t="s">
        <v>858</v>
      </c>
    </row>
    <row r="44" customFormat="false" ht="57.45" hidden="false" customHeight="false" outlineLevel="0" collapsed="false">
      <c r="A44" s="4" t="s">
        <v>859</v>
      </c>
      <c r="B44" s="4" t="n">
        <v>100252</v>
      </c>
      <c r="C44" s="4" t="n">
        <v>135</v>
      </c>
      <c r="D44" s="4" t="n">
        <v>1862</v>
      </c>
      <c r="E44" s="4" t="n">
        <v>1933</v>
      </c>
      <c r="F44" s="4" t="s">
        <v>518</v>
      </c>
      <c r="G44" s="4" t="s">
        <v>860</v>
      </c>
      <c r="H44" s="4" t="s">
        <v>712</v>
      </c>
      <c r="I44" s="4" t="s">
        <v>741</v>
      </c>
      <c r="J44" s="4" t="s">
        <v>861</v>
      </c>
      <c r="K44" s="4" t="s">
        <v>862</v>
      </c>
    </row>
    <row r="45" customFormat="false" ht="57.45" hidden="false" customHeight="false" outlineLevel="0" collapsed="false">
      <c r="A45" s="4" t="s">
        <v>863</v>
      </c>
      <c r="B45" s="4" t="n">
        <v>100319</v>
      </c>
      <c r="C45" s="4" t="n">
        <v>135</v>
      </c>
      <c r="D45" s="4" t="n">
        <v>1875</v>
      </c>
      <c r="E45" s="4" t="n">
        <v>1933</v>
      </c>
      <c r="F45" s="4" t="s">
        <v>771</v>
      </c>
      <c r="G45" s="4" t="s">
        <v>772</v>
      </c>
      <c r="H45" s="4" t="s">
        <v>712</v>
      </c>
      <c r="I45" s="4" t="s">
        <v>718</v>
      </c>
      <c r="J45" s="4" t="s">
        <v>773</v>
      </c>
      <c r="K45" s="4" t="s">
        <v>774</v>
      </c>
    </row>
    <row r="46" customFormat="false" ht="46.25" hidden="false" customHeight="false" outlineLevel="0" collapsed="false">
      <c r="A46" s="4" t="s">
        <v>864</v>
      </c>
      <c r="B46" s="4" t="n">
        <v>100367</v>
      </c>
      <c r="C46" s="4" t="n">
        <v>129</v>
      </c>
      <c r="D46" s="4" t="n">
        <v>1875</v>
      </c>
      <c r="E46" s="4" t="n">
        <v>1962</v>
      </c>
      <c r="F46" s="4" t="s">
        <v>865</v>
      </c>
      <c r="G46" s="4" t="s">
        <v>866</v>
      </c>
      <c r="H46" s="4" t="s">
        <v>712</v>
      </c>
      <c r="I46" s="4" t="s">
        <v>741</v>
      </c>
      <c r="J46" s="4" t="s">
        <v>729</v>
      </c>
      <c r="K46" s="4" t="s">
        <v>867</v>
      </c>
    </row>
    <row r="47" customFormat="false" ht="46.25" hidden="false" customHeight="false" outlineLevel="0" collapsed="false">
      <c r="A47" s="4" t="s">
        <v>868</v>
      </c>
      <c r="B47" s="4" t="n">
        <v>100325</v>
      </c>
      <c r="C47" s="4" t="n">
        <v>128</v>
      </c>
      <c r="D47" s="4" t="n">
        <v>1896</v>
      </c>
      <c r="E47" s="4" t="n">
        <v>1960</v>
      </c>
      <c r="F47" s="4" t="s">
        <v>792</v>
      </c>
      <c r="G47" s="4" t="s">
        <v>793</v>
      </c>
      <c r="H47" s="4" t="s">
        <v>712</v>
      </c>
      <c r="I47" s="4" t="s">
        <v>713</v>
      </c>
      <c r="J47" s="4" t="s">
        <v>767</v>
      </c>
      <c r="K47" s="4" t="s">
        <v>794</v>
      </c>
    </row>
    <row r="48" customFormat="false" ht="57.45" hidden="false" customHeight="false" outlineLevel="0" collapsed="false">
      <c r="A48" s="4" t="s">
        <v>869</v>
      </c>
      <c r="B48" s="4" t="n">
        <v>100329</v>
      </c>
      <c r="C48" s="4" t="n">
        <v>120</v>
      </c>
      <c r="D48" s="4" t="n">
        <v>1875</v>
      </c>
      <c r="E48" s="4" t="n">
        <v>1935</v>
      </c>
      <c r="F48" s="4" t="s">
        <v>870</v>
      </c>
      <c r="G48" s="4" t="s">
        <v>871</v>
      </c>
      <c r="H48" s="4" t="s">
        <v>712</v>
      </c>
      <c r="I48" s="4" t="s">
        <v>718</v>
      </c>
      <c r="J48" s="4" t="s">
        <v>872</v>
      </c>
      <c r="K48" s="4" t="s">
        <v>873</v>
      </c>
    </row>
    <row r="49" customFormat="false" ht="46.25" hidden="false" customHeight="false" outlineLevel="0" collapsed="false">
      <c r="A49" s="4" t="s">
        <v>874</v>
      </c>
      <c r="B49" s="4" t="n">
        <v>100187</v>
      </c>
      <c r="C49" s="4" t="n">
        <v>112</v>
      </c>
      <c r="D49" s="4" t="n">
        <v>1873</v>
      </c>
      <c r="E49" s="4" t="n">
        <v>1960</v>
      </c>
      <c r="F49" s="4" t="s">
        <v>765</v>
      </c>
      <c r="G49" s="4" t="s">
        <v>766</v>
      </c>
      <c r="H49" s="4" t="s">
        <v>712</v>
      </c>
      <c r="I49" s="4" t="s">
        <v>718</v>
      </c>
      <c r="J49" s="4" t="s">
        <v>796</v>
      </c>
      <c r="K49" s="4" t="s">
        <v>875</v>
      </c>
    </row>
    <row r="50" customFormat="false" ht="46.25" hidden="false" customHeight="false" outlineLevel="0" collapsed="false">
      <c r="A50" s="4" t="s">
        <v>876</v>
      </c>
      <c r="B50" s="4" t="n">
        <v>100353</v>
      </c>
      <c r="C50" s="4" t="n">
        <v>110</v>
      </c>
      <c r="D50" s="4" t="n">
        <v>1875</v>
      </c>
      <c r="E50" s="4" t="n">
        <v>1961</v>
      </c>
      <c r="F50" s="4" t="s">
        <v>732</v>
      </c>
      <c r="G50" s="4" t="s">
        <v>733</v>
      </c>
      <c r="H50" s="4" t="s">
        <v>712</v>
      </c>
      <c r="I50" s="4" t="s">
        <v>718</v>
      </c>
      <c r="J50" s="4" t="s">
        <v>734</v>
      </c>
      <c r="K50" s="4" t="s">
        <v>735</v>
      </c>
    </row>
    <row r="51" customFormat="false" ht="46.25" hidden="false" customHeight="false" outlineLevel="0" collapsed="false">
      <c r="A51" s="4" t="s">
        <v>877</v>
      </c>
      <c r="B51" s="4" t="n">
        <v>100340</v>
      </c>
      <c r="C51" s="4" t="n">
        <v>107</v>
      </c>
      <c r="D51" s="4" t="n">
        <v>1875</v>
      </c>
      <c r="E51" s="4" t="n">
        <v>1961</v>
      </c>
      <c r="F51" s="4" t="s">
        <v>732</v>
      </c>
      <c r="G51" s="4" t="s">
        <v>733</v>
      </c>
      <c r="H51" s="4" t="s">
        <v>712</v>
      </c>
      <c r="I51" s="4" t="s">
        <v>718</v>
      </c>
      <c r="J51" s="4" t="s">
        <v>734</v>
      </c>
      <c r="K51" s="4" t="s">
        <v>735</v>
      </c>
    </row>
    <row r="52" customFormat="false" ht="46.25" hidden="false" customHeight="false" outlineLevel="0" collapsed="false">
      <c r="A52" s="4" t="s">
        <v>878</v>
      </c>
      <c r="B52" s="4" t="n">
        <v>100345</v>
      </c>
      <c r="C52" s="4" t="n">
        <v>99</v>
      </c>
      <c r="D52" s="4" t="n">
        <v>1872</v>
      </c>
      <c r="E52" s="4" t="n">
        <v>1935</v>
      </c>
      <c r="F52" s="4" t="s">
        <v>721</v>
      </c>
      <c r="G52" s="4" t="s">
        <v>722</v>
      </c>
      <c r="H52" s="4" t="s">
        <v>712</v>
      </c>
      <c r="I52" s="4" t="s">
        <v>718</v>
      </c>
      <c r="J52" s="4" t="s">
        <v>723</v>
      </c>
      <c r="K52" s="4" t="s">
        <v>879</v>
      </c>
    </row>
    <row r="53" customFormat="false" ht="46.25" hidden="false" customHeight="false" outlineLevel="0" collapsed="false">
      <c r="A53" s="4" t="s">
        <v>880</v>
      </c>
      <c r="B53" s="4" t="n">
        <v>100346</v>
      </c>
      <c r="C53" s="4" t="n">
        <v>95</v>
      </c>
      <c r="D53" s="4" t="n">
        <v>1862</v>
      </c>
      <c r="E53" s="4" t="n">
        <v>1962</v>
      </c>
      <c r="F53" s="4" t="s">
        <v>881</v>
      </c>
      <c r="G53" s="4" t="s">
        <v>882</v>
      </c>
      <c r="H53" s="4" t="s">
        <v>712</v>
      </c>
      <c r="I53" s="4" t="s">
        <v>741</v>
      </c>
      <c r="J53" s="4" t="s">
        <v>748</v>
      </c>
      <c r="K53" s="4" t="s">
        <v>883</v>
      </c>
    </row>
    <row r="54" customFormat="false" ht="57.45" hidden="false" customHeight="false" outlineLevel="0" collapsed="false">
      <c r="A54" s="4" t="s">
        <v>884</v>
      </c>
      <c r="B54" s="4" t="n">
        <v>100347</v>
      </c>
      <c r="C54" s="4" t="n">
        <v>95</v>
      </c>
      <c r="D54" s="4" t="n">
        <v>1875</v>
      </c>
      <c r="E54" s="4" t="n">
        <v>1935</v>
      </c>
      <c r="F54" s="4" t="s">
        <v>870</v>
      </c>
      <c r="G54" s="4" t="s">
        <v>871</v>
      </c>
      <c r="H54" s="4" t="s">
        <v>712</v>
      </c>
      <c r="I54" s="4" t="s">
        <v>718</v>
      </c>
      <c r="J54" s="4" t="s">
        <v>872</v>
      </c>
      <c r="K54" s="4" t="s">
        <v>885</v>
      </c>
    </row>
    <row r="55" customFormat="false" ht="46.25" hidden="false" customHeight="false" outlineLevel="0" collapsed="false">
      <c r="A55" s="4" t="s">
        <v>886</v>
      </c>
      <c r="B55" s="4" t="n">
        <v>100350</v>
      </c>
      <c r="C55" s="4" t="n">
        <v>92</v>
      </c>
      <c r="D55" s="4" t="n">
        <v>1872</v>
      </c>
      <c r="E55" s="4" t="n">
        <v>1962</v>
      </c>
      <c r="F55" s="4" t="s">
        <v>887</v>
      </c>
      <c r="G55" s="4" t="s">
        <v>888</v>
      </c>
      <c r="H55" s="4" t="s">
        <v>712</v>
      </c>
      <c r="I55" s="4" t="s">
        <v>741</v>
      </c>
      <c r="J55" s="4" t="s">
        <v>802</v>
      </c>
      <c r="K55" s="4" t="s">
        <v>889</v>
      </c>
    </row>
    <row r="56" customFormat="false" ht="46.25" hidden="false" customHeight="false" outlineLevel="0" collapsed="false">
      <c r="A56" s="4" t="s">
        <v>890</v>
      </c>
      <c r="B56" s="4" t="n">
        <v>100354</v>
      </c>
      <c r="C56" s="4" t="n">
        <v>89</v>
      </c>
      <c r="D56" s="4" t="n">
        <v>1890</v>
      </c>
      <c r="E56" s="4" t="n">
        <v>1960</v>
      </c>
      <c r="F56" s="4" t="s">
        <v>891</v>
      </c>
      <c r="G56" s="4" t="s">
        <v>892</v>
      </c>
      <c r="H56" s="4" t="s">
        <v>712</v>
      </c>
      <c r="I56" s="4" t="s">
        <v>741</v>
      </c>
      <c r="J56" s="4" t="s">
        <v>893</v>
      </c>
      <c r="K56" s="4" t="s">
        <v>894</v>
      </c>
    </row>
    <row r="57" customFormat="false" ht="46.25" hidden="false" customHeight="false" outlineLevel="0" collapsed="false">
      <c r="A57" s="4" t="s">
        <v>895</v>
      </c>
      <c r="B57" s="4" t="n">
        <v>100251</v>
      </c>
      <c r="C57" s="4" t="n">
        <v>85</v>
      </c>
      <c r="D57" s="4" t="n">
        <v>1862</v>
      </c>
      <c r="E57" s="4" t="n">
        <v>1949</v>
      </c>
      <c r="F57" s="4" t="s">
        <v>896</v>
      </c>
      <c r="G57" s="4" t="s">
        <v>897</v>
      </c>
      <c r="H57" s="4" t="s">
        <v>712</v>
      </c>
      <c r="I57" s="4" t="s">
        <v>741</v>
      </c>
      <c r="J57" s="4" t="s">
        <v>898</v>
      </c>
      <c r="K57" s="4" t="s">
        <v>899</v>
      </c>
    </row>
    <row r="58" customFormat="false" ht="57.45" hidden="false" customHeight="false" outlineLevel="0" collapsed="false">
      <c r="A58" s="4" t="s">
        <v>900</v>
      </c>
      <c r="B58" s="4" t="n">
        <v>100363</v>
      </c>
      <c r="C58" s="4" t="n">
        <v>78</v>
      </c>
      <c r="D58" s="4" t="n">
        <v>1862</v>
      </c>
      <c r="E58" s="4" t="n">
        <v>1933</v>
      </c>
      <c r="F58" s="4" t="s">
        <v>518</v>
      </c>
      <c r="G58" s="4" t="s">
        <v>860</v>
      </c>
      <c r="H58" s="4" t="s">
        <v>712</v>
      </c>
      <c r="I58" s="4" t="s">
        <v>741</v>
      </c>
      <c r="J58" s="4" t="s">
        <v>861</v>
      </c>
      <c r="K58" s="4" t="s">
        <v>862</v>
      </c>
    </row>
    <row r="59" customFormat="false" ht="46.25" hidden="false" customHeight="false" outlineLevel="0" collapsed="false">
      <c r="A59" s="4" t="s">
        <v>901</v>
      </c>
      <c r="B59" s="4" t="n">
        <v>100366</v>
      </c>
      <c r="C59" s="4" t="n">
        <v>74</v>
      </c>
      <c r="D59" s="4" t="n">
        <v>1862</v>
      </c>
      <c r="E59" s="4" t="n">
        <v>1908</v>
      </c>
      <c r="F59" s="4" t="s">
        <v>902</v>
      </c>
      <c r="G59" s="4" t="s">
        <v>903</v>
      </c>
      <c r="H59" s="4" t="s">
        <v>712</v>
      </c>
      <c r="I59" s="4" t="s">
        <v>741</v>
      </c>
      <c r="J59" s="4" t="s">
        <v>904</v>
      </c>
      <c r="K59" s="4" t="s">
        <v>905</v>
      </c>
    </row>
    <row r="60" customFormat="false" ht="46.25" hidden="false" customHeight="false" outlineLevel="0" collapsed="false">
      <c r="A60" s="4" t="s">
        <v>906</v>
      </c>
      <c r="B60" s="4" t="n">
        <v>100371</v>
      </c>
      <c r="C60" s="4" t="n">
        <v>64</v>
      </c>
      <c r="D60" s="4" t="n">
        <v>1862</v>
      </c>
      <c r="E60" s="4" t="n">
        <v>1962</v>
      </c>
      <c r="F60" s="4" t="s">
        <v>881</v>
      </c>
      <c r="G60" s="4" t="s">
        <v>882</v>
      </c>
      <c r="H60" s="4" t="s">
        <v>712</v>
      </c>
      <c r="I60" s="4" t="s">
        <v>741</v>
      </c>
      <c r="J60" s="4" t="s">
        <v>748</v>
      </c>
      <c r="K60" s="4" t="s">
        <v>883</v>
      </c>
    </row>
    <row r="61" customFormat="false" ht="46.25" hidden="false" customHeight="false" outlineLevel="0" collapsed="false">
      <c r="A61" s="4" t="s">
        <v>907</v>
      </c>
      <c r="B61" s="4" t="n">
        <v>100404</v>
      </c>
      <c r="C61" s="4" t="n">
        <v>60</v>
      </c>
      <c r="D61" s="4" t="n">
        <v>1870</v>
      </c>
      <c r="E61" s="4" t="n">
        <v>1949</v>
      </c>
      <c r="F61" s="4" t="s">
        <v>908</v>
      </c>
      <c r="G61" s="4" t="s">
        <v>909</v>
      </c>
      <c r="H61" s="4" t="s">
        <v>712</v>
      </c>
      <c r="I61" s="4" t="s">
        <v>718</v>
      </c>
      <c r="J61" s="4" t="s">
        <v>910</v>
      </c>
      <c r="K61" s="4" t="s">
        <v>911</v>
      </c>
    </row>
    <row r="62" customFormat="false" ht="46.25" hidden="false" customHeight="false" outlineLevel="0" collapsed="false">
      <c r="A62" s="4" t="s">
        <v>912</v>
      </c>
      <c r="B62" s="4" t="n">
        <v>100374</v>
      </c>
      <c r="C62" s="4" t="n">
        <v>58</v>
      </c>
      <c r="D62" s="4" t="n">
        <v>1893</v>
      </c>
      <c r="E62" s="4" t="n">
        <v>1960</v>
      </c>
      <c r="F62" s="4" t="s">
        <v>913</v>
      </c>
      <c r="G62" s="4" t="s">
        <v>914</v>
      </c>
      <c r="H62" s="4" t="s">
        <v>712</v>
      </c>
      <c r="I62" s="4" t="s">
        <v>718</v>
      </c>
      <c r="J62" s="4" t="s">
        <v>915</v>
      </c>
      <c r="K62" s="4" t="s">
        <v>916</v>
      </c>
    </row>
    <row r="63" customFormat="false" ht="46.25" hidden="false" customHeight="false" outlineLevel="0" collapsed="false">
      <c r="A63" s="4" t="s">
        <v>917</v>
      </c>
      <c r="B63" s="4" t="n">
        <v>100376</v>
      </c>
      <c r="C63" s="4" t="n">
        <v>54</v>
      </c>
      <c r="D63" s="4" t="n">
        <v>1875</v>
      </c>
      <c r="E63" s="4" t="n">
        <v>1960</v>
      </c>
      <c r="F63" s="4" t="s">
        <v>918</v>
      </c>
      <c r="G63" s="4" t="s">
        <v>919</v>
      </c>
      <c r="H63" s="4" t="s">
        <v>712</v>
      </c>
      <c r="I63" s="4" t="s">
        <v>741</v>
      </c>
      <c r="J63" s="4" t="s">
        <v>920</v>
      </c>
      <c r="K63" s="4" t="s">
        <v>921</v>
      </c>
    </row>
    <row r="64" customFormat="false" ht="57.45" hidden="false" customHeight="false" outlineLevel="0" collapsed="false">
      <c r="A64" s="4" t="s">
        <v>922</v>
      </c>
      <c r="B64" s="4" t="n">
        <v>100382</v>
      </c>
      <c r="C64" s="4" t="n">
        <v>48</v>
      </c>
      <c r="D64" s="4" t="n">
        <v>1875</v>
      </c>
      <c r="E64" s="4" t="n">
        <v>1933</v>
      </c>
      <c r="F64" s="4" t="s">
        <v>627</v>
      </c>
      <c r="G64" s="4" t="s">
        <v>923</v>
      </c>
      <c r="H64" s="4" t="s">
        <v>712</v>
      </c>
      <c r="I64" s="4" t="s">
        <v>728</v>
      </c>
      <c r="J64" s="4" t="s">
        <v>773</v>
      </c>
      <c r="K64" s="4" t="s">
        <v>924</v>
      </c>
    </row>
    <row r="65" customFormat="false" ht="46.25" hidden="false" customHeight="false" outlineLevel="0" collapsed="false">
      <c r="A65" s="4" t="s">
        <v>925</v>
      </c>
      <c r="B65" s="4" t="n">
        <v>100440</v>
      </c>
      <c r="C65" s="4" t="n">
        <v>45</v>
      </c>
      <c r="D65" s="4" t="n">
        <v>1873</v>
      </c>
      <c r="E65" s="4" t="n">
        <v>1960</v>
      </c>
      <c r="F65" s="4" t="s">
        <v>834</v>
      </c>
      <c r="G65" s="4" t="s">
        <v>835</v>
      </c>
      <c r="H65" s="4" t="s">
        <v>712</v>
      </c>
      <c r="I65" s="4" t="s">
        <v>718</v>
      </c>
      <c r="J65" s="4" t="s">
        <v>796</v>
      </c>
      <c r="K65" s="4" t="s">
        <v>926</v>
      </c>
    </row>
    <row r="66" customFormat="false" ht="46.25" hidden="false" customHeight="false" outlineLevel="0" collapsed="false">
      <c r="A66" s="4" t="s">
        <v>927</v>
      </c>
      <c r="B66" s="4" t="n">
        <v>100398</v>
      </c>
      <c r="C66" s="4" t="n">
        <v>42</v>
      </c>
      <c r="D66" s="4" t="n">
        <v>1872</v>
      </c>
      <c r="E66" s="4" t="n">
        <v>1960</v>
      </c>
      <c r="F66" s="4" t="s">
        <v>928</v>
      </c>
      <c r="G66" s="4" t="s">
        <v>929</v>
      </c>
      <c r="H66" s="4" t="s">
        <v>712</v>
      </c>
      <c r="I66" s="4" t="s">
        <v>741</v>
      </c>
      <c r="J66" s="4" t="s">
        <v>841</v>
      </c>
      <c r="K66" s="4" t="s">
        <v>930</v>
      </c>
    </row>
    <row r="67" customFormat="false" ht="46.25" hidden="false" customHeight="false" outlineLevel="0" collapsed="false">
      <c r="A67" s="4" t="s">
        <v>931</v>
      </c>
      <c r="B67" s="4" t="n">
        <v>100380</v>
      </c>
      <c r="C67" s="4" t="n">
        <v>37</v>
      </c>
      <c r="D67" s="4" t="n">
        <v>1888</v>
      </c>
      <c r="E67" s="4" t="n">
        <v>1960</v>
      </c>
      <c r="F67" s="4" t="s">
        <v>150</v>
      </c>
      <c r="G67" s="4" t="s">
        <v>932</v>
      </c>
      <c r="H67" s="4" t="s">
        <v>712</v>
      </c>
      <c r="I67" s="4" t="s">
        <v>741</v>
      </c>
      <c r="J67" s="4" t="s">
        <v>933</v>
      </c>
      <c r="K67" s="4" t="s">
        <v>934</v>
      </c>
    </row>
    <row r="68" customFormat="false" ht="46.25" hidden="false" customHeight="false" outlineLevel="0" collapsed="false">
      <c r="A68" s="4" t="s">
        <v>935</v>
      </c>
      <c r="B68" s="4" t="n">
        <v>100334</v>
      </c>
      <c r="C68" s="4" t="n">
        <v>36</v>
      </c>
      <c r="D68" s="4" t="n">
        <v>1896</v>
      </c>
      <c r="E68" s="4" t="n">
        <v>1935</v>
      </c>
      <c r="F68" s="4" t="s">
        <v>778</v>
      </c>
      <c r="G68" s="4" t="s">
        <v>779</v>
      </c>
      <c r="H68" s="4" t="s">
        <v>712</v>
      </c>
      <c r="I68" s="4" t="s">
        <v>718</v>
      </c>
      <c r="J68" s="4" t="s">
        <v>780</v>
      </c>
      <c r="K68" s="4" t="s">
        <v>781</v>
      </c>
    </row>
    <row r="69" customFormat="false" ht="46.25" hidden="false" customHeight="false" outlineLevel="0" collapsed="false">
      <c r="A69" s="4" t="s">
        <v>936</v>
      </c>
      <c r="B69" s="4" t="n">
        <v>100058</v>
      </c>
      <c r="C69" s="4" t="n">
        <v>35</v>
      </c>
      <c r="D69" s="4" t="n">
        <v>1896</v>
      </c>
      <c r="E69" s="4" t="n">
        <v>1962</v>
      </c>
      <c r="F69" s="4" t="s">
        <v>937</v>
      </c>
      <c r="G69" s="4" t="s">
        <v>938</v>
      </c>
      <c r="H69" s="4" t="s">
        <v>712</v>
      </c>
      <c r="I69" s="4" t="s">
        <v>741</v>
      </c>
      <c r="J69" s="4" t="s">
        <v>939</v>
      </c>
      <c r="K69" s="4" t="s">
        <v>940</v>
      </c>
    </row>
    <row r="70" customFormat="false" ht="46.25" hidden="false" customHeight="false" outlineLevel="0" collapsed="false">
      <c r="A70" s="4" t="s">
        <v>941</v>
      </c>
      <c r="B70" s="4" t="n">
        <v>100086</v>
      </c>
      <c r="C70" s="4" t="n">
        <v>28</v>
      </c>
      <c r="D70" s="4" t="n">
        <v>1906</v>
      </c>
      <c r="E70" s="4" t="n">
        <v>1960</v>
      </c>
      <c r="F70" s="4" t="s">
        <v>942</v>
      </c>
      <c r="G70" s="4" t="s">
        <v>943</v>
      </c>
      <c r="H70" s="4" t="s">
        <v>712</v>
      </c>
      <c r="I70" s="4" t="s">
        <v>728</v>
      </c>
      <c r="J70" s="4" t="s">
        <v>944</v>
      </c>
      <c r="K70" s="4" t="s">
        <v>945</v>
      </c>
    </row>
    <row r="71" customFormat="false" ht="46.25" hidden="false" customHeight="false" outlineLevel="0" collapsed="false">
      <c r="A71" s="4" t="s">
        <v>946</v>
      </c>
      <c r="B71" s="4" t="n">
        <v>100385</v>
      </c>
      <c r="C71" s="4" t="n">
        <v>28</v>
      </c>
      <c r="D71" s="4" t="n">
        <v>1896</v>
      </c>
      <c r="E71" s="4" t="n">
        <v>1935</v>
      </c>
      <c r="F71" s="4" t="s">
        <v>778</v>
      </c>
      <c r="G71" s="4" t="s">
        <v>779</v>
      </c>
      <c r="H71" s="4" t="s">
        <v>712</v>
      </c>
      <c r="I71" s="4" t="s">
        <v>718</v>
      </c>
      <c r="J71" s="4" t="s">
        <v>780</v>
      </c>
      <c r="K71" s="4" t="s">
        <v>781</v>
      </c>
    </row>
    <row r="72" customFormat="false" ht="46.25" hidden="false" customHeight="false" outlineLevel="0" collapsed="false">
      <c r="A72" s="4" t="s">
        <v>947</v>
      </c>
      <c r="B72" s="4" t="n">
        <v>100424</v>
      </c>
      <c r="C72" s="4" t="n">
        <v>27</v>
      </c>
      <c r="D72" s="4" t="n">
        <v>1898</v>
      </c>
      <c r="E72" s="4" t="n">
        <v>1949</v>
      </c>
      <c r="F72" s="4" t="s">
        <v>697</v>
      </c>
      <c r="G72" s="4" t="s">
        <v>717</v>
      </c>
      <c r="H72" s="4" t="s">
        <v>712</v>
      </c>
      <c r="I72" s="4" t="s">
        <v>718</v>
      </c>
      <c r="J72" s="4" t="s">
        <v>714</v>
      </c>
      <c r="K72" s="4" t="s">
        <v>719</v>
      </c>
    </row>
    <row r="73" customFormat="false" ht="46.25" hidden="false" customHeight="false" outlineLevel="0" collapsed="false">
      <c r="A73" s="4" t="s">
        <v>948</v>
      </c>
      <c r="B73" s="4" t="n">
        <v>100416</v>
      </c>
      <c r="C73" s="4" t="n">
        <v>25</v>
      </c>
      <c r="D73" s="4" t="n">
        <v>1862</v>
      </c>
      <c r="E73" s="4" t="n">
        <v>1949</v>
      </c>
      <c r="F73" s="4" t="s">
        <v>949</v>
      </c>
      <c r="G73" s="4" t="s">
        <v>950</v>
      </c>
      <c r="H73" s="4" t="s">
        <v>712</v>
      </c>
      <c r="I73" s="4" t="s">
        <v>741</v>
      </c>
      <c r="J73" s="4" t="s">
        <v>898</v>
      </c>
      <c r="K73" s="4" t="s">
        <v>951</v>
      </c>
    </row>
    <row r="74" customFormat="false" ht="46.25" hidden="false" customHeight="false" outlineLevel="0" collapsed="false">
      <c r="A74" s="4" t="s">
        <v>952</v>
      </c>
      <c r="B74" s="4" t="n">
        <v>100417</v>
      </c>
      <c r="C74" s="4" t="n">
        <v>24</v>
      </c>
      <c r="D74" s="4" t="n">
        <v>1872</v>
      </c>
      <c r="E74" s="4" t="n">
        <v>1962</v>
      </c>
      <c r="F74" s="4" t="s">
        <v>800</v>
      </c>
      <c r="G74" s="4" t="s">
        <v>801</v>
      </c>
      <c r="H74" s="4" t="s">
        <v>712</v>
      </c>
      <c r="I74" s="4" t="s">
        <v>741</v>
      </c>
      <c r="J74" s="4" t="s">
        <v>802</v>
      </c>
      <c r="K74" s="4" t="s">
        <v>803</v>
      </c>
    </row>
    <row r="75" customFormat="false" ht="57.45" hidden="false" customHeight="false" outlineLevel="0" collapsed="false">
      <c r="A75" s="4" t="s">
        <v>953</v>
      </c>
      <c r="B75" s="4" t="n">
        <v>100394</v>
      </c>
      <c r="C75" s="4" t="n">
        <v>23</v>
      </c>
      <c r="D75" s="4" t="n">
        <v>1896</v>
      </c>
      <c r="E75" s="4" t="n">
        <v>1932</v>
      </c>
      <c r="F75" s="4" t="s">
        <v>954</v>
      </c>
      <c r="G75" s="4" t="s">
        <v>955</v>
      </c>
      <c r="H75" s="4" t="s">
        <v>712</v>
      </c>
      <c r="I75" s="4" t="s">
        <v>956</v>
      </c>
      <c r="J75" s="4" t="s">
        <v>957</v>
      </c>
      <c r="K75" s="4" t="s">
        <v>958</v>
      </c>
    </row>
    <row r="76" customFormat="false" ht="46.25" hidden="false" customHeight="false" outlineLevel="0" collapsed="false">
      <c r="A76" s="4" t="s">
        <v>959</v>
      </c>
      <c r="B76" s="4" t="n">
        <v>100420</v>
      </c>
      <c r="C76" s="4" t="n">
        <v>20</v>
      </c>
      <c r="D76" s="4" t="n">
        <v>1908</v>
      </c>
      <c r="E76" s="4" t="n">
        <v>1962</v>
      </c>
      <c r="F76" s="4" t="s">
        <v>960</v>
      </c>
      <c r="G76" s="4" t="s">
        <v>961</v>
      </c>
      <c r="H76" s="4" t="s">
        <v>712</v>
      </c>
      <c r="I76" s="4" t="s">
        <v>741</v>
      </c>
      <c r="J76" s="4" t="s">
        <v>962</v>
      </c>
      <c r="K76" s="4" t="s">
        <v>963</v>
      </c>
    </row>
    <row r="77" customFormat="false" ht="46.25" hidden="false" customHeight="false" outlineLevel="0" collapsed="false">
      <c r="A77" s="4" t="s">
        <v>964</v>
      </c>
      <c r="B77" s="4" t="n">
        <v>100333</v>
      </c>
      <c r="C77" s="4" t="n">
        <v>8</v>
      </c>
      <c r="D77" s="4" t="n">
        <v>1896</v>
      </c>
      <c r="E77" s="4" t="n">
        <v>1935</v>
      </c>
      <c r="F77" s="4" t="s">
        <v>778</v>
      </c>
      <c r="G77" s="4" t="s">
        <v>779</v>
      </c>
      <c r="H77" s="4" t="s">
        <v>712</v>
      </c>
      <c r="I77" s="4" t="s">
        <v>718</v>
      </c>
      <c r="J77" s="4" t="s">
        <v>780</v>
      </c>
      <c r="K77" s="4" t="s">
        <v>781</v>
      </c>
    </row>
    <row r="78" customFormat="false" ht="46.25" hidden="false" customHeight="false" outlineLevel="0" collapsed="false">
      <c r="A78" s="4" t="s">
        <v>965</v>
      </c>
      <c r="B78" s="4" t="n">
        <v>100335</v>
      </c>
      <c r="C78" s="4" t="n">
        <v>8</v>
      </c>
      <c r="D78" s="4" t="n">
        <v>1896</v>
      </c>
      <c r="E78" s="4" t="n">
        <v>1935</v>
      </c>
      <c r="F78" s="4" t="s">
        <v>778</v>
      </c>
      <c r="G78" s="4" t="s">
        <v>779</v>
      </c>
      <c r="H78" s="4" t="s">
        <v>712</v>
      </c>
      <c r="I78" s="4" t="s">
        <v>718</v>
      </c>
      <c r="J78" s="4" t="s">
        <v>780</v>
      </c>
      <c r="K78" s="4" t="s">
        <v>781</v>
      </c>
    </row>
    <row r="79" customFormat="false" ht="46.25" hidden="false" customHeight="false" outlineLevel="0" collapsed="false">
      <c r="A79" s="4" t="s">
        <v>966</v>
      </c>
      <c r="B79" s="4" t="n">
        <v>100386</v>
      </c>
      <c r="C79" s="4" t="n">
        <v>7</v>
      </c>
      <c r="D79" s="4" t="n">
        <v>1896</v>
      </c>
      <c r="E79" s="4" t="n">
        <v>1935</v>
      </c>
      <c r="F79" s="4" t="s">
        <v>778</v>
      </c>
      <c r="G79" s="4" t="s">
        <v>779</v>
      </c>
      <c r="H79" s="4" t="s">
        <v>712</v>
      </c>
      <c r="I79" s="4" t="s">
        <v>718</v>
      </c>
      <c r="J79" s="4" t="s">
        <v>780</v>
      </c>
      <c r="K79" s="4" t="s">
        <v>781</v>
      </c>
    </row>
    <row r="80" customFormat="false" ht="46.25" hidden="false" customHeight="false" outlineLevel="0" collapsed="false">
      <c r="A80" s="4" t="s">
        <v>967</v>
      </c>
      <c r="B80" s="4" t="n">
        <v>100390</v>
      </c>
      <c r="C80" s="4" t="n">
        <v>7</v>
      </c>
      <c r="D80" s="4" t="n">
        <v>1896</v>
      </c>
      <c r="E80" s="4" t="n">
        <v>1935</v>
      </c>
      <c r="F80" s="4" t="s">
        <v>778</v>
      </c>
      <c r="G80" s="4" t="s">
        <v>779</v>
      </c>
      <c r="H80" s="4" t="s">
        <v>712</v>
      </c>
      <c r="I80" s="4" t="s">
        <v>718</v>
      </c>
      <c r="J80" s="4" t="s">
        <v>780</v>
      </c>
      <c r="K80" s="4" t="s">
        <v>781</v>
      </c>
    </row>
    <row r="81" customFormat="false" ht="46.25" hidden="false" customHeight="false" outlineLevel="0" collapsed="false">
      <c r="A81" s="4" t="s">
        <v>968</v>
      </c>
      <c r="B81" s="4" t="n">
        <v>100001</v>
      </c>
      <c r="C81" s="4" t="n">
        <v>21311</v>
      </c>
      <c r="D81" s="4" t="n">
        <v>1906</v>
      </c>
      <c r="E81" s="4" t="n">
        <v>1923</v>
      </c>
      <c r="F81" s="4" t="s">
        <v>680</v>
      </c>
      <c r="G81" s="4" t="s">
        <v>681</v>
      </c>
      <c r="H81" s="4" t="s">
        <v>969</v>
      </c>
      <c r="I81" s="4" t="s">
        <v>956</v>
      </c>
      <c r="J81" s="4" t="s">
        <v>970</v>
      </c>
      <c r="K81" s="4" t="s">
        <v>971</v>
      </c>
    </row>
    <row r="82" customFormat="false" ht="46.25" hidden="false" customHeight="false" outlineLevel="0" collapsed="false">
      <c r="A82" s="4" t="s">
        <v>972</v>
      </c>
      <c r="B82" s="4" t="n">
        <v>100002</v>
      </c>
      <c r="C82" s="4" t="n">
        <v>16157</v>
      </c>
      <c r="D82" s="4" t="n">
        <v>1913</v>
      </c>
      <c r="E82" s="4" t="n">
        <v>1921</v>
      </c>
      <c r="F82" s="4" t="s">
        <v>520</v>
      </c>
      <c r="G82" s="4" t="s">
        <v>521</v>
      </c>
      <c r="H82" s="4" t="s">
        <v>969</v>
      </c>
      <c r="I82" s="4" t="s">
        <v>718</v>
      </c>
      <c r="J82" s="4" t="s">
        <v>973</v>
      </c>
      <c r="K82" s="4" t="s">
        <v>974</v>
      </c>
    </row>
    <row r="83" customFormat="false" ht="46.25" hidden="false" customHeight="false" outlineLevel="0" collapsed="false">
      <c r="A83" s="4" t="s">
        <v>975</v>
      </c>
      <c r="B83" s="4" t="n">
        <v>100003</v>
      </c>
      <c r="C83" s="4" t="n">
        <v>15465</v>
      </c>
      <c r="D83" s="4" t="n">
        <v>1904</v>
      </c>
      <c r="E83" s="4" t="n">
        <v>1932</v>
      </c>
      <c r="F83" s="4" t="s">
        <v>660</v>
      </c>
      <c r="G83" s="4" t="s">
        <v>661</v>
      </c>
      <c r="H83" s="4" t="s">
        <v>969</v>
      </c>
      <c r="I83" s="4" t="s">
        <v>956</v>
      </c>
      <c r="J83" s="4" t="s">
        <v>976</v>
      </c>
      <c r="K83" s="4" t="s">
        <v>977</v>
      </c>
    </row>
    <row r="84" customFormat="false" ht="46.25" hidden="false" customHeight="false" outlineLevel="0" collapsed="false">
      <c r="A84" s="4" t="s">
        <v>978</v>
      </c>
      <c r="B84" s="4" t="n">
        <v>100004</v>
      </c>
      <c r="C84" s="4" t="n">
        <v>11337</v>
      </c>
      <c r="D84" s="4" t="n">
        <v>1892</v>
      </c>
      <c r="E84" s="4" t="n">
        <v>1932</v>
      </c>
      <c r="F84" s="4" t="s">
        <v>629</v>
      </c>
      <c r="G84" s="4" t="s">
        <v>630</v>
      </c>
      <c r="H84" s="4" t="s">
        <v>969</v>
      </c>
      <c r="I84" s="4" t="s">
        <v>956</v>
      </c>
      <c r="J84" s="4" t="s">
        <v>979</v>
      </c>
      <c r="K84" s="4" t="s">
        <v>980</v>
      </c>
    </row>
    <row r="85" customFormat="false" ht="46.25" hidden="false" customHeight="false" outlineLevel="0" collapsed="false">
      <c r="A85" s="4" t="s">
        <v>981</v>
      </c>
      <c r="B85" s="4" t="n">
        <v>100005</v>
      </c>
      <c r="C85" s="4" t="n">
        <v>10154</v>
      </c>
      <c r="D85" s="4" t="n">
        <v>1900</v>
      </c>
      <c r="E85" s="4" t="n">
        <v>1935</v>
      </c>
      <c r="F85" s="4" t="s">
        <v>434</v>
      </c>
      <c r="G85" s="4" t="s">
        <v>435</v>
      </c>
      <c r="H85" s="4" t="s">
        <v>969</v>
      </c>
      <c r="I85" s="4" t="s">
        <v>718</v>
      </c>
      <c r="J85" s="4" t="s">
        <v>982</v>
      </c>
      <c r="K85" s="4" t="s">
        <v>983</v>
      </c>
    </row>
    <row r="86" customFormat="false" ht="46.25" hidden="false" customHeight="false" outlineLevel="0" collapsed="false">
      <c r="A86" s="4" t="s">
        <v>984</v>
      </c>
      <c r="B86" s="4" t="n">
        <v>100006</v>
      </c>
      <c r="C86" s="4" t="n">
        <v>9004</v>
      </c>
      <c r="D86" s="4" t="n">
        <v>1902</v>
      </c>
      <c r="E86" s="4" t="n">
        <v>1948</v>
      </c>
      <c r="F86" s="4" t="s">
        <v>352</v>
      </c>
      <c r="G86" s="4" t="s">
        <v>354</v>
      </c>
      <c r="H86" s="4" t="s">
        <v>969</v>
      </c>
      <c r="I86" s="4" t="s">
        <v>718</v>
      </c>
      <c r="J86" s="4" t="s">
        <v>985</v>
      </c>
      <c r="K86" s="4" t="s">
        <v>986</v>
      </c>
    </row>
    <row r="87" customFormat="false" ht="46.25" hidden="false" customHeight="false" outlineLevel="0" collapsed="false">
      <c r="A87" s="4" t="s">
        <v>987</v>
      </c>
      <c r="B87" s="4" t="n">
        <v>100007</v>
      </c>
      <c r="C87" s="4" t="n">
        <v>8517</v>
      </c>
      <c r="D87" s="4" t="n">
        <v>1895</v>
      </c>
      <c r="E87" s="4" t="n">
        <v>1960</v>
      </c>
      <c r="F87" s="4" t="s">
        <v>451</v>
      </c>
      <c r="G87" s="4" t="s">
        <v>453</v>
      </c>
      <c r="H87" s="4" t="s">
        <v>969</v>
      </c>
      <c r="I87" s="4" t="s">
        <v>718</v>
      </c>
      <c r="J87" s="4" t="s">
        <v>988</v>
      </c>
      <c r="K87" s="4" t="s">
        <v>989</v>
      </c>
    </row>
    <row r="88" customFormat="false" ht="46.25" hidden="false" customHeight="false" outlineLevel="0" collapsed="false">
      <c r="A88" s="4" t="s">
        <v>990</v>
      </c>
      <c r="B88" s="4" t="n">
        <v>100008</v>
      </c>
      <c r="C88" s="4" t="n">
        <v>8260</v>
      </c>
      <c r="D88" s="4" t="n">
        <v>1892</v>
      </c>
      <c r="E88" s="4" t="n">
        <v>1935</v>
      </c>
      <c r="F88" s="4" t="s">
        <v>365</v>
      </c>
      <c r="G88" s="4" t="s">
        <v>366</v>
      </c>
      <c r="H88" s="4" t="s">
        <v>969</v>
      </c>
      <c r="I88" s="4" t="s">
        <v>747</v>
      </c>
      <c r="J88" s="4" t="s">
        <v>991</v>
      </c>
      <c r="K88" s="4" t="s">
        <v>992</v>
      </c>
    </row>
    <row r="89" customFormat="false" ht="46.25" hidden="false" customHeight="false" outlineLevel="0" collapsed="false">
      <c r="A89" s="4" t="s">
        <v>993</v>
      </c>
      <c r="B89" s="4" t="n">
        <v>100011</v>
      </c>
      <c r="C89" s="4" t="n">
        <v>6653</v>
      </c>
      <c r="D89" s="4" t="n">
        <v>1912</v>
      </c>
      <c r="E89" s="4" t="n">
        <v>1923</v>
      </c>
      <c r="F89" s="4" t="s">
        <v>577</v>
      </c>
      <c r="G89" s="4" t="s">
        <v>578</v>
      </c>
      <c r="H89" s="4" t="s">
        <v>969</v>
      </c>
      <c r="I89" s="4" t="s">
        <v>994</v>
      </c>
      <c r="J89" s="4" t="s">
        <v>995</v>
      </c>
      <c r="K89" s="4" t="s">
        <v>996</v>
      </c>
    </row>
    <row r="90" customFormat="false" ht="46.25" hidden="false" customHeight="false" outlineLevel="0" collapsed="false">
      <c r="A90" s="4" t="s">
        <v>997</v>
      </c>
      <c r="B90" s="4" t="n">
        <v>100009</v>
      </c>
      <c r="C90" s="4" t="n">
        <v>6617</v>
      </c>
      <c r="D90" s="4" t="n">
        <v>1896</v>
      </c>
      <c r="E90" s="4" t="n">
        <v>1932</v>
      </c>
      <c r="F90" s="4" t="s">
        <v>660</v>
      </c>
      <c r="G90" s="4" t="s">
        <v>661</v>
      </c>
      <c r="H90" s="4" t="s">
        <v>969</v>
      </c>
      <c r="I90" s="4" t="s">
        <v>956</v>
      </c>
      <c r="J90" s="4" t="s">
        <v>998</v>
      </c>
      <c r="K90" s="4" t="s">
        <v>999</v>
      </c>
    </row>
    <row r="91" customFormat="false" ht="46.25" hidden="false" customHeight="false" outlineLevel="0" collapsed="false">
      <c r="A91" s="4" t="s">
        <v>1000</v>
      </c>
      <c r="B91" s="4" t="n">
        <v>100013</v>
      </c>
      <c r="C91" s="4" t="n">
        <v>6295</v>
      </c>
      <c r="D91" s="4" t="n">
        <v>1908</v>
      </c>
      <c r="E91" s="4" t="n">
        <v>1935</v>
      </c>
      <c r="F91" s="4" t="s">
        <v>691</v>
      </c>
      <c r="G91" s="4" t="s">
        <v>692</v>
      </c>
      <c r="H91" s="4" t="s">
        <v>969</v>
      </c>
      <c r="I91" s="4" t="s">
        <v>994</v>
      </c>
      <c r="J91" s="4" t="s">
        <v>1001</v>
      </c>
      <c r="K91" s="4" t="s">
        <v>1002</v>
      </c>
    </row>
    <row r="92" customFormat="false" ht="46.25" hidden="false" customHeight="false" outlineLevel="0" collapsed="false">
      <c r="A92" s="4" t="s">
        <v>1003</v>
      </c>
      <c r="B92" s="4" t="n">
        <v>100014</v>
      </c>
      <c r="C92" s="4" t="n">
        <v>6118</v>
      </c>
      <c r="D92" s="4" t="n">
        <v>1896</v>
      </c>
      <c r="E92" s="4" t="n">
        <v>1932</v>
      </c>
      <c r="F92" s="4" t="s">
        <v>629</v>
      </c>
      <c r="G92" s="4" t="s">
        <v>630</v>
      </c>
      <c r="H92" s="4" t="s">
        <v>969</v>
      </c>
      <c r="I92" s="4" t="s">
        <v>956</v>
      </c>
      <c r="J92" s="4" t="s">
        <v>998</v>
      </c>
      <c r="K92" s="4" t="s">
        <v>1004</v>
      </c>
    </row>
    <row r="93" customFormat="false" ht="46.25" hidden="false" customHeight="false" outlineLevel="0" collapsed="false">
      <c r="A93" s="4" t="s">
        <v>1005</v>
      </c>
      <c r="B93" s="4" t="n">
        <v>100015</v>
      </c>
      <c r="C93" s="4" t="n">
        <v>5982</v>
      </c>
      <c r="D93" s="4" t="n">
        <v>1910</v>
      </c>
      <c r="E93" s="4" t="n">
        <v>1923</v>
      </c>
      <c r="F93" s="4" t="s">
        <v>577</v>
      </c>
      <c r="G93" s="4" t="s">
        <v>578</v>
      </c>
      <c r="H93" s="4" t="s">
        <v>969</v>
      </c>
      <c r="I93" s="4" t="s">
        <v>994</v>
      </c>
      <c r="J93" s="4" t="s">
        <v>1006</v>
      </c>
      <c r="K93" s="4" t="s">
        <v>1007</v>
      </c>
    </row>
    <row r="94" customFormat="false" ht="46.25" hidden="false" customHeight="false" outlineLevel="0" collapsed="false">
      <c r="A94" s="4" t="s">
        <v>1008</v>
      </c>
      <c r="B94" s="4" t="n">
        <v>100016</v>
      </c>
      <c r="C94" s="4" t="n">
        <v>4631</v>
      </c>
      <c r="D94" s="4" t="n">
        <v>1897</v>
      </c>
      <c r="E94" s="4" t="n">
        <v>1958</v>
      </c>
      <c r="F94" s="4" t="s">
        <v>341</v>
      </c>
      <c r="G94" s="4" t="s">
        <v>342</v>
      </c>
      <c r="H94" s="4" t="s">
        <v>969</v>
      </c>
      <c r="I94" s="4" t="s">
        <v>718</v>
      </c>
      <c r="J94" s="4" t="s">
        <v>1009</v>
      </c>
      <c r="K94" s="4" t="s">
        <v>1010</v>
      </c>
    </row>
    <row r="95" customFormat="false" ht="46.25" hidden="false" customHeight="false" outlineLevel="0" collapsed="false">
      <c r="A95" s="4" t="s">
        <v>1011</v>
      </c>
      <c r="B95" s="4" t="n">
        <v>100017</v>
      </c>
      <c r="C95" s="4" t="n">
        <v>4404</v>
      </c>
      <c r="D95" s="4" t="n">
        <v>1896</v>
      </c>
      <c r="E95" s="4" t="n">
        <v>1921</v>
      </c>
      <c r="F95" s="4" t="s">
        <v>642</v>
      </c>
      <c r="G95" s="4" t="s">
        <v>643</v>
      </c>
      <c r="H95" s="4" t="s">
        <v>969</v>
      </c>
      <c r="I95" s="4" t="s">
        <v>956</v>
      </c>
      <c r="J95" s="4" t="s">
        <v>1012</v>
      </c>
      <c r="K95" s="4" t="s">
        <v>1013</v>
      </c>
    </row>
    <row r="96" customFormat="false" ht="46.25" hidden="false" customHeight="false" outlineLevel="0" collapsed="false">
      <c r="A96" s="4" t="s">
        <v>1014</v>
      </c>
      <c r="B96" s="4" t="n">
        <v>100018</v>
      </c>
      <c r="C96" s="4" t="n">
        <v>4075</v>
      </c>
      <c r="D96" s="4" t="n">
        <v>1897</v>
      </c>
      <c r="E96" s="4" t="n">
        <v>1924</v>
      </c>
      <c r="F96" s="4" t="s">
        <v>192</v>
      </c>
      <c r="G96" s="4" t="s">
        <v>528</v>
      </c>
      <c r="H96" s="4" t="s">
        <v>969</v>
      </c>
      <c r="I96" s="4" t="s">
        <v>718</v>
      </c>
      <c r="J96" s="4" t="s">
        <v>1015</v>
      </c>
      <c r="K96" s="4" t="s">
        <v>1016</v>
      </c>
    </row>
    <row r="97" customFormat="false" ht="46.25" hidden="false" customHeight="false" outlineLevel="0" collapsed="false">
      <c r="A97" s="4" t="s">
        <v>1017</v>
      </c>
      <c r="B97" s="4" t="n">
        <v>100019</v>
      </c>
      <c r="C97" s="4" t="n">
        <v>3942</v>
      </c>
      <c r="D97" s="4" t="n">
        <v>1900</v>
      </c>
      <c r="E97" s="4" t="n">
        <v>1958</v>
      </c>
      <c r="F97" s="4" t="s">
        <v>341</v>
      </c>
      <c r="G97" s="4" t="s">
        <v>342</v>
      </c>
      <c r="H97" s="4" t="s">
        <v>969</v>
      </c>
      <c r="I97" s="4" t="s">
        <v>718</v>
      </c>
      <c r="J97" s="4" t="s">
        <v>807</v>
      </c>
      <c r="K97" s="4" t="s">
        <v>1018</v>
      </c>
    </row>
    <row r="98" customFormat="false" ht="46.25" hidden="false" customHeight="false" outlineLevel="0" collapsed="false">
      <c r="A98" s="4" t="s">
        <v>1019</v>
      </c>
      <c r="B98" s="4" t="n">
        <v>100020</v>
      </c>
      <c r="C98" s="4" t="n">
        <v>3763</v>
      </c>
      <c r="D98" s="4" t="n">
        <v>1895</v>
      </c>
      <c r="E98" s="4" t="n">
        <v>1935</v>
      </c>
      <c r="F98" s="4" t="s">
        <v>413</v>
      </c>
      <c r="G98" s="4" t="s">
        <v>414</v>
      </c>
      <c r="H98" s="4" t="s">
        <v>969</v>
      </c>
      <c r="I98" s="4" t="s">
        <v>994</v>
      </c>
      <c r="J98" s="4" t="s">
        <v>1020</v>
      </c>
      <c r="K98" s="4" t="s">
        <v>1021</v>
      </c>
    </row>
    <row r="99" customFormat="false" ht="46.25" hidden="false" customHeight="false" outlineLevel="0" collapsed="false">
      <c r="A99" s="4" t="s">
        <v>1022</v>
      </c>
      <c r="B99" s="4" t="n">
        <v>100021</v>
      </c>
      <c r="C99" s="4" t="n">
        <v>3673</v>
      </c>
      <c r="D99" s="4" t="n">
        <v>1902</v>
      </c>
      <c r="E99" s="4" t="n">
        <v>1949</v>
      </c>
      <c r="F99" s="4" t="s">
        <v>352</v>
      </c>
      <c r="G99" s="4" t="s">
        <v>354</v>
      </c>
      <c r="H99" s="4" t="s">
        <v>969</v>
      </c>
      <c r="I99" s="4" t="s">
        <v>718</v>
      </c>
      <c r="J99" s="4" t="s">
        <v>1023</v>
      </c>
      <c r="K99" s="4" t="s">
        <v>1024</v>
      </c>
    </row>
    <row r="100" customFormat="false" ht="46.25" hidden="false" customHeight="false" outlineLevel="0" collapsed="false">
      <c r="A100" s="4" t="s">
        <v>1025</v>
      </c>
      <c r="B100" s="4" t="n">
        <v>100022</v>
      </c>
      <c r="C100" s="4" t="n">
        <v>3498</v>
      </c>
      <c r="D100" s="4" t="n">
        <v>1890</v>
      </c>
      <c r="E100" s="4" t="n">
        <v>1960</v>
      </c>
      <c r="F100" s="4" t="s">
        <v>423</v>
      </c>
      <c r="G100" s="4" t="s">
        <v>424</v>
      </c>
      <c r="H100" s="4" t="s">
        <v>969</v>
      </c>
      <c r="I100" s="4" t="s">
        <v>718</v>
      </c>
      <c r="J100" s="4" t="s">
        <v>893</v>
      </c>
      <c r="K100" s="4" t="s">
        <v>1026</v>
      </c>
    </row>
    <row r="101" customFormat="false" ht="46.25" hidden="false" customHeight="false" outlineLevel="0" collapsed="false">
      <c r="A101" s="4" t="s">
        <v>1027</v>
      </c>
      <c r="B101" s="4" t="n">
        <v>100023</v>
      </c>
      <c r="C101" s="4" t="n">
        <v>3448</v>
      </c>
      <c r="D101" s="4" t="n">
        <v>1891</v>
      </c>
      <c r="E101" s="4" t="n">
        <v>1935</v>
      </c>
      <c r="F101" s="4" t="s">
        <v>434</v>
      </c>
      <c r="G101" s="4" t="s">
        <v>435</v>
      </c>
      <c r="H101" s="4" t="s">
        <v>969</v>
      </c>
      <c r="I101" s="4" t="s">
        <v>718</v>
      </c>
      <c r="J101" s="4" t="s">
        <v>1028</v>
      </c>
      <c r="K101" s="4" t="s">
        <v>1029</v>
      </c>
    </row>
    <row r="102" customFormat="false" ht="46.25" hidden="false" customHeight="false" outlineLevel="0" collapsed="false">
      <c r="A102" s="4" t="s">
        <v>1030</v>
      </c>
      <c r="B102" s="4" t="n">
        <v>100024</v>
      </c>
      <c r="C102" s="4" t="n">
        <v>3394</v>
      </c>
      <c r="D102" s="4" t="n">
        <v>1891</v>
      </c>
      <c r="E102" s="4" t="n">
        <v>1902</v>
      </c>
      <c r="F102" s="4" t="s">
        <v>443</v>
      </c>
      <c r="G102" s="4" t="s">
        <v>444</v>
      </c>
      <c r="H102" s="4" t="s">
        <v>969</v>
      </c>
      <c r="I102" s="4" t="s">
        <v>994</v>
      </c>
      <c r="J102" s="4" t="s">
        <v>1031</v>
      </c>
      <c r="K102" s="4" t="s">
        <v>1032</v>
      </c>
    </row>
    <row r="103" customFormat="false" ht="46.25" hidden="false" customHeight="false" outlineLevel="0" collapsed="false">
      <c r="A103" s="4" t="s">
        <v>1033</v>
      </c>
      <c r="B103" s="4" t="n">
        <v>100025</v>
      </c>
      <c r="C103" s="4" t="n">
        <v>3379</v>
      </c>
      <c r="D103" s="4" t="n">
        <v>1896</v>
      </c>
      <c r="E103" s="4" t="n">
        <v>1932</v>
      </c>
      <c r="F103" s="4" t="s">
        <v>629</v>
      </c>
      <c r="G103" s="4" t="s">
        <v>630</v>
      </c>
      <c r="H103" s="4" t="s">
        <v>969</v>
      </c>
      <c r="I103" s="4" t="s">
        <v>956</v>
      </c>
      <c r="J103" s="4" t="s">
        <v>998</v>
      </c>
      <c r="K103" s="4" t="s">
        <v>1004</v>
      </c>
    </row>
    <row r="104" customFormat="false" ht="57.45" hidden="false" customHeight="false" outlineLevel="0" collapsed="false">
      <c r="A104" s="4" t="s">
        <v>1034</v>
      </c>
      <c r="B104" s="4" t="n">
        <v>100026</v>
      </c>
      <c r="C104" s="4" t="n">
        <v>3282</v>
      </c>
      <c r="D104" s="4" t="n">
        <v>1907</v>
      </c>
      <c r="E104" s="4" t="n">
        <v>1932</v>
      </c>
      <c r="F104" s="4" t="s">
        <v>650</v>
      </c>
      <c r="G104" s="4" t="s">
        <v>676</v>
      </c>
      <c r="H104" s="4" t="s">
        <v>969</v>
      </c>
      <c r="I104" s="4" t="s">
        <v>956</v>
      </c>
      <c r="J104" s="4" t="s">
        <v>1035</v>
      </c>
      <c r="K104" s="4" t="s">
        <v>1036</v>
      </c>
    </row>
    <row r="105" customFormat="false" ht="46.25" hidden="false" customHeight="false" outlineLevel="0" collapsed="false">
      <c r="A105" s="4" t="s">
        <v>1037</v>
      </c>
      <c r="B105" s="4" t="n">
        <v>100027</v>
      </c>
      <c r="C105" s="4" t="n">
        <v>3141</v>
      </c>
      <c r="D105" s="4" t="n">
        <v>1899</v>
      </c>
      <c r="E105" s="4" t="n">
        <v>1958</v>
      </c>
      <c r="F105" s="4" t="s">
        <v>341</v>
      </c>
      <c r="G105" s="4" t="s">
        <v>342</v>
      </c>
      <c r="H105" s="4" t="s">
        <v>969</v>
      </c>
      <c r="I105" s="4" t="s">
        <v>718</v>
      </c>
      <c r="J105" s="4" t="s">
        <v>1038</v>
      </c>
      <c r="K105" s="4" t="s">
        <v>1039</v>
      </c>
    </row>
    <row r="106" customFormat="false" ht="46.25" hidden="false" customHeight="false" outlineLevel="0" collapsed="false">
      <c r="A106" s="4" t="s">
        <v>1040</v>
      </c>
      <c r="B106" s="4" t="n">
        <v>100425</v>
      </c>
      <c r="C106" s="4" t="n">
        <v>3074</v>
      </c>
      <c r="D106" s="4" t="n">
        <v>1900</v>
      </c>
      <c r="E106" s="4" t="n">
        <v>1949</v>
      </c>
      <c r="F106" s="4" t="s">
        <v>233</v>
      </c>
      <c r="G106" s="4" t="s">
        <v>234</v>
      </c>
      <c r="H106" s="4" t="s">
        <v>969</v>
      </c>
      <c r="I106" s="4" t="s">
        <v>718</v>
      </c>
      <c r="J106" s="4" t="s">
        <v>1041</v>
      </c>
      <c r="K106" s="4" t="s">
        <v>1042</v>
      </c>
    </row>
    <row r="107" customFormat="false" ht="46.25" hidden="false" customHeight="false" outlineLevel="0" collapsed="false">
      <c r="A107" s="4" t="s">
        <v>1043</v>
      </c>
      <c r="B107" s="4" t="n">
        <v>100029</v>
      </c>
      <c r="C107" s="4" t="n">
        <v>2915</v>
      </c>
      <c r="D107" s="4" t="n">
        <v>1910</v>
      </c>
      <c r="E107" s="4" t="n">
        <v>1936</v>
      </c>
      <c r="F107" s="4" t="s">
        <v>550</v>
      </c>
      <c r="G107" s="4" t="s">
        <v>551</v>
      </c>
      <c r="H107" s="4" t="s">
        <v>969</v>
      </c>
      <c r="I107" s="4" t="s">
        <v>747</v>
      </c>
      <c r="J107" s="4" t="s">
        <v>1044</v>
      </c>
      <c r="K107" s="4" t="s">
        <v>1045</v>
      </c>
    </row>
    <row r="108" customFormat="false" ht="46.25" hidden="false" customHeight="false" outlineLevel="0" collapsed="false">
      <c r="A108" s="4" t="s">
        <v>1046</v>
      </c>
      <c r="B108" s="4" t="n">
        <v>100030</v>
      </c>
      <c r="C108" s="4" t="n">
        <v>2583</v>
      </c>
      <c r="D108" s="4" t="n">
        <v>1897</v>
      </c>
      <c r="E108" s="4" t="n">
        <v>1927</v>
      </c>
      <c r="F108" s="4" t="s">
        <v>538</v>
      </c>
      <c r="G108" s="4" t="s">
        <v>539</v>
      </c>
      <c r="H108" s="4" t="s">
        <v>969</v>
      </c>
      <c r="I108" s="4" t="s">
        <v>747</v>
      </c>
      <c r="J108" s="4" t="s">
        <v>1047</v>
      </c>
      <c r="K108" s="4" t="s">
        <v>1048</v>
      </c>
    </row>
    <row r="109" customFormat="false" ht="57.45" hidden="false" customHeight="false" outlineLevel="0" collapsed="false">
      <c r="A109" s="4" t="s">
        <v>1049</v>
      </c>
      <c r="B109" s="4" t="n">
        <v>100031</v>
      </c>
      <c r="C109" s="4" t="n">
        <v>2574</v>
      </c>
      <c r="D109" s="4" t="n">
        <v>1892</v>
      </c>
      <c r="E109" s="4" t="n">
        <v>1932</v>
      </c>
      <c r="F109" s="4" t="s">
        <v>652</v>
      </c>
      <c r="G109" s="4" t="s">
        <v>653</v>
      </c>
      <c r="H109" s="4" t="s">
        <v>969</v>
      </c>
      <c r="I109" s="4" t="s">
        <v>956</v>
      </c>
      <c r="J109" s="4" t="s">
        <v>1050</v>
      </c>
      <c r="K109" s="4" t="s">
        <v>1051</v>
      </c>
    </row>
    <row r="110" customFormat="false" ht="46.25" hidden="false" customHeight="false" outlineLevel="0" collapsed="false">
      <c r="A110" s="4" t="s">
        <v>1052</v>
      </c>
      <c r="B110" s="4" t="n">
        <v>100032</v>
      </c>
      <c r="C110" s="4" t="n">
        <v>2457</v>
      </c>
      <c r="D110" s="4" t="n">
        <v>1890</v>
      </c>
      <c r="E110" s="4" t="n">
        <v>1960</v>
      </c>
      <c r="F110" s="4" t="s">
        <v>423</v>
      </c>
      <c r="G110" s="4" t="s">
        <v>424</v>
      </c>
      <c r="H110" s="4" t="s">
        <v>969</v>
      </c>
      <c r="I110" s="4" t="s">
        <v>718</v>
      </c>
      <c r="J110" s="4" t="s">
        <v>893</v>
      </c>
      <c r="K110" s="4" t="s">
        <v>1026</v>
      </c>
    </row>
    <row r="111" customFormat="false" ht="57.45" hidden="false" customHeight="false" outlineLevel="0" collapsed="false">
      <c r="A111" s="4" t="s">
        <v>1053</v>
      </c>
      <c r="B111" s="4" t="n">
        <v>100033</v>
      </c>
      <c r="C111" s="4" t="n">
        <v>2287</v>
      </c>
      <c r="D111" s="4" t="n">
        <v>1892</v>
      </c>
      <c r="E111" s="4" t="n">
        <v>1932</v>
      </c>
      <c r="F111" s="4" t="s">
        <v>652</v>
      </c>
      <c r="G111" s="4" t="s">
        <v>653</v>
      </c>
      <c r="H111" s="4" t="s">
        <v>969</v>
      </c>
      <c r="I111" s="4" t="s">
        <v>956</v>
      </c>
      <c r="J111" s="4" t="s">
        <v>1050</v>
      </c>
      <c r="K111" s="4" t="s">
        <v>1051</v>
      </c>
    </row>
    <row r="112" customFormat="false" ht="46.25" hidden="false" customHeight="false" outlineLevel="0" collapsed="false">
      <c r="A112" s="4" t="s">
        <v>1054</v>
      </c>
      <c r="B112" s="4" t="n">
        <v>100034</v>
      </c>
      <c r="C112" s="4" t="n">
        <v>1994</v>
      </c>
      <c r="D112" s="4" t="n">
        <v>1906</v>
      </c>
      <c r="E112" s="4" t="n">
        <v>1962</v>
      </c>
      <c r="F112" s="4" t="s">
        <v>81</v>
      </c>
      <c r="G112" s="4" t="s">
        <v>82</v>
      </c>
      <c r="H112" s="4" t="s">
        <v>969</v>
      </c>
      <c r="I112" s="4" t="s">
        <v>747</v>
      </c>
      <c r="J112" s="4" t="s">
        <v>1055</v>
      </c>
      <c r="K112" s="4" t="s">
        <v>1056</v>
      </c>
    </row>
    <row r="113" customFormat="false" ht="57.45" hidden="false" customHeight="false" outlineLevel="0" collapsed="false">
      <c r="A113" s="4" t="s">
        <v>1057</v>
      </c>
      <c r="B113" s="4" t="n">
        <v>100035</v>
      </c>
      <c r="C113" s="4" t="n">
        <v>1968</v>
      </c>
      <c r="D113" s="4" t="n">
        <v>1888</v>
      </c>
      <c r="E113" s="4" t="n">
        <v>1935</v>
      </c>
      <c r="F113" s="4" t="s">
        <v>244</v>
      </c>
      <c r="G113" s="4" t="s">
        <v>245</v>
      </c>
      <c r="H113" s="4" t="s">
        <v>969</v>
      </c>
      <c r="I113" s="4" t="s">
        <v>718</v>
      </c>
      <c r="J113" s="4" t="s">
        <v>1058</v>
      </c>
      <c r="K113" s="4" t="s">
        <v>1059</v>
      </c>
    </row>
    <row r="114" customFormat="false" ht="57.45" hidden="false" customHeight="false" outlineLevel="0" collapsed="false">
      <c r="A114" s="4" t="s">
        <v>1060</v>
      </c>
      <c r="B114" s="4" t="n">
        <v>100036</v>
      </c>
      <c r="C114" s="4" t="n">
        <v>1953</v>
      </c>
      <c r="D114" s="4" t="n">
        <v>1906</v>
      </c>
      <c r="E114" s="4" t="n">
        <v>1939</v>
      </c>
      <c r="F114" s="4" t="s">
        <v>669</v>
      </c>
      <c r="G114" s="4" t="s">
        <v>670</v>
      </c>
      <c r="H114" s="4" t="s">
        <v>969</v>
      </c>
      <c r="I114" s="4" t="s">
        <v>956</v>
      </c>
      <c r="J114" s="4" t="s">
        <v>1061</v>
      </c>
      <c r="K114" s="4" t="s">
        <v>1062</v>
      </c>
    </row>
    <row r="115" customFormat="false" ht="57.45" hidden="false" customHeight="false" outlineLevel="0" collapsed="false">
      <c r="A115" s="4" t="s">
        <v>1063</v>
      </c>
      <c r="B115" s="4" t="n">
        <v>100037</v>
      </c>
      <c r="C115" s="4" t="n">
        <v>1908</v>
      </c>
      <c r="D115" s="4" t="n">
        <v>1888</v>
      </c>
      <c r="E115" s="4" t="n">
        <v>1935</v>
      </c>
      <c r="F115" s="4" t="s">
        <v>244</v>
      </c>
      <c r="G115" s="4" t="s">
        <v>245</v>
      </c>
      <c r="H115" s="4" t="s">
        <v>969</v>
      </c>
      <c r="I115" s="4" t="s">
        <v>718</v>
      </c>
      <c r="J115" s="4" t="s">
        <v>1058</v>
      </c>
      <c r="K115" s="4" t="s">
        <v>1059</v>
      </c>
    </row>
    <row r="116" customFormat="false" ht="46.25" hidden="false" customHeight="false" outlineLevel="0" collapsed="false">
      <c r="A116" s="4" t="s">
        <v>1064</v>
      </c>
      <c r="B116" s="4" t="n">
        <v>100038</v>
      </c>
      <c r="C116" s="4" t="n">
        <v>1862</v>
      </c>
      <c r="D116" s="4" t="n">
        <v>1862</v>
      </c>
      <c r="E116" s="4" t="n">
        <v>1962</v>
      </c>
      <c r="F116" s="4" t="s">
        <v>81</v>
      </c>
      <c r="G116" s="4" t="s">
        <v>82</v>
      </c>
      <c r="H116" s="4" t="s">
        <v>969</v>
      </c>
      <c r="I116" s="4" t="s">
        <v>747</v>
      </c>
      <c r="J116" s="4" t="s">
        <v>748</v>
      </c>
      <c r="K116" s="4" t="s">
        <v>1065</v>
      </c>
    </row>
    <row r="117" customFormat="false" ht="57.45" hidden="false" customHeight="false" outlineLevel="0" collapsed="false">
      <c r="A117" s="4" t="s">
        <v>1066</v>
      </c>
      <c r="B117" s="4" t="n">
        <v>100039</v>
      </c>
      <c r="C117" s="4" t="n">
        <v>1861</v>
      </c>
      <c r="D117" s="4" t="n">
        <v>1875</v>
      </c>
      <c r="E117" s="4" t="n">
        <v>1900</v>
      </c>
      <c r="F117" s="4" t="s">
        <v>244</v>
      </c>
      <c r="G117" s="4" t="s">
        <v>245</v>
      </c>
      <c r="H117" s="4" t="s">
        <v>969</v>
      </c>
      <c r="I117" s="4" t="s">
        <v>718</v>
      </c>
      <c r="J117" s="4" t="s">
        <v>1067</v>
      </c>
      <c r="K117" s="4" t="s">
        <v>1068</v>
      </c>
    </row>
    <row r="118" customFormat="false" ht="46.25" hidden="false" customHeight="false" outlineLevel="0" collapsed="false">
      <c r="A118" s="4" t="s">
        <v>1069</v>
      </c>
      <c r="B118" s="4" t="n">
        <v>100040</v>
      </c>
      <c r="C118" s="4" t="n">
        <v>1748</v>
      </c>
      <c r="D118" s="4" t="n">
        <v>1891</v>
      </c>
      <c r="E118" s="4" t="n">
        <v>1935</v>
      </c>
      <c r="F118" s="4" t="s">
        <v>434</v>
      </c>
      <c r="G118" s="4" t="s">
        <v>435</v>
      </c>
      <c r="H118" s="4" t="s">
        <v>969</v>
      </c>
      <c r="I118" s="4" t="s">
        <v>718</v>
      </c>
      <c r="J118" s="4" t="s">
        <v>1028</v>
      </c>
      <c r="K118" s="4" t="s">
        <v>1029</v>
      </c>
    </row>
    <row r="119" customFormat="false" ht="57.45" hidden="false" customHeight="false" outlineLevel="0" collapsed="false">
      <c r="A119" s="4" t="s">
        <v>1070</v>
      </c>
      <c r="B119" s="4" t="n">
        <v>100041</v>
      </c>
      <c r="C119" s="4" t="n">
        <v>1742</v>
      </c>
      <c r="D119" s="4" t="n">
        <v>1907</v>
      </c>
      <c r="E119" s="4" t="n">
        <v>1932</v>
      </c>
      <c r="F119" s="4" t="s">
        <v>650</v>
      </c>
      <c r="G119" s="4" t="s">
        <v>676</v>
      </c>
      <c r="H119" s="4" t="s">
        <v>969</v>
      </c>
      <c r="I119" s="4" t="s">
        <v>956</v>
      </c>
      <c r="J119" s="4" t="s">
        <v>1035</v>
      </c>
      <c r="K119" s="4" t="s">
        <v>1036</v>
      </c>
    </row>
    <row r="120" customFormat="false" ht="46.25" hidden="false" customHeight="false" outlineLevel="0" collapsed="false">
      <c r="A120" s="4" t="s">
        <v>1071</v>
      </c>
      <c r="B120" s="4" t="n">
        <v>100042</v>
      </c>
      <c r="C120" s="4" t="n">
        <v>1604</v>
      </c>
      <c r="D120" s="4" t="n">
        <v>1890</v>
      </c>
      <c r="E120" s="4" t="n">
        <v>1960</v>
      </c>
      <c r="F120" s="4" t="s">
        <v>183</v>
      </c>
      <c r="G120" s="4" t="s">
        <v>184</v>
      </c>
      <c r="H120" s="4" t="s">
        <v>969</v>
      </c>
      <c r="I120" s="4" t="s">
        <v>718</v>
      </c>
      <c r="J120" s="4" t="s">
        <v>893</v>
      </c>
      <c r="K120" s="4" t="s">
        <v>1072</v>
      </c>
    </row>
    <row r="121" customFormat="false" ht="57.45" hidden="false" customHeight="false" outlineLevel="0" collapsed="false">
      <c r="A121" s="4" t="s">
        <v>1073</v>
      </c>
      <c r="B121" s="4" t="n">
        <v>100044</v>
      </c>
      <c r="C121" s="4" t="n">
        <v>1563</v>
      </c>
      <c r="D121" s="4" t="n">
        <v>1875</v>
      </c>
      <c r="E121" s="4" t="n">
        <v>1933</v>
      </c>
      <c r="F121" s="4" t="s">
        <v>266</v>
      </c>
      <c r="G121" s="4" t="s">
        <v>288</v>
      </c>
      <c r="H121" s="4" t="s">
        <v>969</v>
      </c>
      <c r="I121" s="4" t="s">
        <v>718</v>
      </c>
      <c r="J121" s="4" t="s">
        <v>773</v>
      </c>
      <c r="K121" s="4" t="s">
        <v>1074</v>
      </c>
    </row>
    <row r="122" customFormat="false" ht="46.25" hidden="false" customHeight="false" outlineLevel="0" collapsed="false">
      <c r="A122" s="4" t="s">
        <v>1075</v>
      </c>
      <c r="B122" s="4" t="n">
        <v>100045</v>
      </c>
      <c r="C122" s="4" t="n">
        <v>1543</v>
      </c>
      <c r="D122" s="4" t="n">
        <v>1896</v>
      </c>
      <c r="E122" s="4" t="n">
        <v>1902</v>
      </c>
      <c r="F122" s="4" t="s">
        <v>443</v>
      </c>
      <c r="G122" s="4" t="s">
        <v>444</v>
      </c>
      <c r="H122" s="4" t="s">
        <v>969</v>
      </c>
      <c r="I122" s="4" t="s">
        <v>994</v>
      </c>
      <c r="J122" s="4" t="s">
        <v>1076</v>
      </c>
      <c r="K122" s="4" t="s">
        <v>1077</v>
      </c>
    </row>
    <row r="123" customFormat="false" ht="46.25" hidden="false" customHeight="false" outlineLevel="0" collapsed="false">
      <c r="A123" s="4" t="s">
        <v>1078</v>
      </c>
      <c r="B123" s="4" t="n">
        <v>100046</v>
      </c>
      <c r="C123" s="4" t="n">
        <v>1535</v>
      </c>
      <c r="D123" s="4" t="n">
        <v>1908</v>
      </c>
      <c r="E123" s="4" t="n">
        <v>1962</v>
      </c>
      <c r="F123" s="4" t="s">
        <v>387</v>
      </c>
      <c r="G123" s="4" t="s">
        <v>388</v>
      </c>
      <c r="H123" s="4" t="s">
        <v>969</v>
      </c>
      <c r="I123" s="4" t="s">
        <v>747</v>
      </c>
      <c r="J123" s="4" t="s">
        <v>962</v>
      </c>
      <c r="K123" s="4" t="s">
        <v>1079</v>
      </c>
    </row>
    <row r="124" customFormat="false" ht="46.25" hidden="false" customHeight="false" outlineLevel="0" collapsed="false">
      <c r="A124" s="4" t="s">
        <v>1080</v>
      </c>
      <c r="B124" s="4" t="n">
        <v>100047</v>
      </c>
      <c r="C124" s="4" t="n">
        <v>1512</v>
      </c>
      <c r="D124" s="4" t="n">
        <v>1899</v>
      </c>
      <c r="E124" s="4" t="n">
        <v>1958</v>
      </c>
      <c r="F124" s="4" t="s">
        <v>322</v>
      </c>
      <c r="G124" s="4" t="s">
        <v>323</v>
      </c>
      <c r="H124" s="4" t="s">
        <v>969</v>
      </c>
      <c r="I124" s="4" t="s">
        <v>718</v>
      </c>
      <c r="J124" s="4" t="s">
        <v>1038</v>
      </c>
      <c r="K124" s="4" t="s">
        <v>1081</v>
      </c>
    </row>
    <row r="125" customFormat="false" ht="46.25" hidden="false" customHeight="false" outlineLevel="0" collapsed="false">
      <c r="A125" s="4" t="s">
        <v>1082</v>
      </c>
      <c r="B125" s="4" t="n">
        <v>100048</v>
      </c>
      <c r="C125" s="4" t="n">
        <v>1399</v>
      </c>
      <c r="D125" s="4" t="n">
        <v>1893</v>
      </c>
      <c r="E125" s="4" t="n">
        <v>1960</v>
      </c>
      <c r="F125" s="4" t="s">
        <v>183</v>
      </c>
      <c r="G125" s="4" t="s">
        <v>184</v>
      </c>
      <c r="H125" s="4" t="s">
        <v>969</v>
      </c>
      <c r="I125" s="4" t="s">
        <v>718</v>
      </c>
      <c r="J125" s="4" t="s">
        <v>915</v>
      </c>
      <c r="K125" s="4" t="s">
        <v>1083</v>
      </c>
    </row>
    <row r="126" customFormat="false" ht="46.25" hidden="false" customHeight="false" outlineLevel="0" collapsed="false">
      <c r="A126" s="4" t="s">
        <v>1084</v>
      </c>
      <c r="B126" s="4" t="n">
        <v>100049</v>
      </c>
      <c r="C126" s="4" t="n">
        <v>1383</v>
      </c>
      <c r="D126" s="4" t="n">
        <v>1900</v>
      </c>
      <c r="E126" s="4" t="n">
        <v>1961</v>
      </c>
      <c r="F126" s="4" t="s">
        <v>173</v>
      </c>
      <c r="G126" s="4" t="s">
        <v>174</v>
      </c>
      <c r="H126" s="4" t="s">
        <v>969</v>
      </c>
      <c r="I126" s="4" t="s">
        <v>718</v>
      </c>
      <c r="J126" s="4" t="s">
        <v>1085</v>
      </c>
      <c r="K126" s="4" t="s">
        <v>1086</v>
      </c>
    </row>
    <row r="127" customFormat="false" ht="46.25" hidden="false" customHeight="false" outlineLevel="0" collapsed="false">
      <c r="A127" s="4" t="s">
        <v>1087</v>
      </c>
      <c r="B127" s="4" t="n">
        <v>100050</v>
      </c>
      <c r="C127" s="4" t="n">
        <v>1329</v>
      </c>
      <c r="D127" s="4" t="n">
        <v>1862</v>
      </c>
      <c r="E127" s="4" t="n">
        <v>1962</v>
      </c>
      <c r="F127" s="4" t="s">
        <v>51</v>
      </c>
      <c r="G127" s="4" t="s">
        <v>52</v>
      </c>
      <c r="H127" s="4" t="s">
        <v>969</v>
      </c>
      <c r="I127" s="4" t="s">
        <v>747</v>
      </c>
      <c r="J127" s="4" t="s">
        <v>748</v>
      </c>
      <c r="K127" s="4" t="s">
        <v>1088</v>
      </c>
    </row>
    <row r="128" customFormat="false" ht="46.25" hidden="false" customHeight="false" outlineLevel="0" collapsed="false">
      <c r="A128" s="4" t="s">
        <v>1089</v>
      </c>
      <c r="B128" s="4" t="n">
        <v>100043</v>
      </c>
      <c r="C128" s="4" t="n">
        <v>1315</v>
      </c>
      <c r="D128" s="4" t="n">
        <v>1903</v>
      </c>
      <c r="E128" s="4" t="n">
        <v>1923</v>
      </c>
      <c r="F128" s="4" t="s">
        <v>567</v>
      </c>
      <c r="G128" s="4" t="s">
        <v>568</v>
      </c>
      <c r="H128" s="4" t="s">
        <v>969</v>
      </c>
      <c r="I128" s="4" t="s">
        <v>994</v>
      </c>
      <c r="J128" s="4" t="s">
        <v>1090</v>
      </c>
      <c r="K128" s="4" t="s">
        <v>1091</v>
      </c>
    </row>
    <row r="129" customFormat="false" ht="46.25" hidden="false" customHeight="false" outlineLevel="0" collapsed="false">
      <c r="A129" s="4" t="s">
        <v>1092</v>
      </c>
      <c r="B129" s="4" t="n">
        <v>100051</v>
      </c>
      <c r="C129" s="4" t="n">
        <v>1294</v>
      </c>
      <c r="D129" s="4" t="n">
        <v>1888</v>
      </c>
      <c r="E129" s="4" t="n">
        <v>1925</v>
      </c>
      <c r="F129" s="4" t="s">
        <v>308</v>
      </c>
      <c r="G129" s="4" t="s">
        <v>309</v>
      </c>
      <c r="H129" s="4" t="s">
        <v>969</v>
      </c>
      <c r="I129" s="4" t="s">
        <v>718</v>
      </c>
      <c r="J129" s="4" t="s">
        <v>1093</v>
      </c>
      <c r="K129" s="4" t="s">
        <v>1094</v>
      </c>
    </row>
    <row r="130" customFormat="false" ht="46.25" hidden="false" customHeight="false" outlineLevel="0" collapsed="false">
      <c r="A130" s="4" t="s">
        <v>1095</v>
      </c>
      <c r="B130" s="4" t="n">
        <v>100052</v>
      </c>
      <c r="C130" s="4" t="n">
        <v>1274</v>
      </c>
      <c r="D130" s="4" t="n">
        <v>1894</v>
      </c>
      <c r="E130" s="4" t="n">
        <v>1961</v>
      </c>
      <c r="F130" s="4" t="s">
        <v>478</v>
      </c>
      <c r="G130" s="4" t="s">
        <v>479</v>
      </c>
      <c r="H130" s="4" t="s">
        <v>969</v>
      </c>
      <c r="I130" s="4" t="s">
        <v>718</v>
      </c>
      <c r="J130" s="4" t="s">
        <v>1096</v>
      </c>
      <c r="K130" s="4" t="s">
        <v>1097</v>
      </c>
    </row>
    <row r="131" customFormat="false" ht="57.45" hidden="false" customHeight="false" outlineLevel="0" collapsed="false">
      <c r="A131" s="4" t="s">
        <v>1098</v>
      </c>
      <c r="B131" s="4" t="n">
        <v>100053</v>
      </c>
      <c r="C131" s="4" t="n">
        <v>1268</v>
      </c>
      <c r="D131" s="4" t="n">
        <v>1875</v>
      </c>
      <c r="E131" s="4" t="n">
        <v>1935</v>
      </c>
      <c r="F131" s="4" t="s">
        <v>244</v>
      </c>
      <c r="G131" s="4" t="s">
        <v>245</v>
      </c>
      <c r="H131" s="4" t="s">
        <v>969</v>
      </c>
      <c r="I131" s="4" t="s">
        <v>718</v>
      </c>
      <c r="J131" s="4" t="s">
        <v>872</v>
      </c>
      <c r="K131" s="4" t="s">
        <v>1099</v>
      </c>
    </row>
    <row r="132" customFormat="false" ht="46.25" hidden="false" customHeight="false" outlineLevel="0" collapsed="false">
      <c r="A132" s="4" t="s">
        <v>1100</v>
      </c>
      <c r="B132" s="4" t="n">
        <v>100423</v>
      </c>
      <c r="C132" s="4" t="n">
        <v>1253</v>
      </c>
      <c r="D132" s="4" t="n">
        <v>1898</v>
      </c>
      <c r="E132" s="4" t="n">
        <v>1949</v>
      </c>
      <c r="F132" s="4" t="s">
        <v>224</v>
      </c>
      <c r="G132" s="4" t="s">
        <v>225</v>
      </c>
      <c r="H132" s="4" t="s">
        <v>969</v>
      </c>
      <c r="I132" s="4" t="s">
        <v>718</v>
      </c>
      <c r="J132" s="4" t="s">
        <v>714</v>
      </c>
      <c r="K132" s="4" t="s">
        <v>1101</v>
      </c>
    </row>
    <row r="133" customFormat="false" ht="46.25" hidden="false" customHeight="false" outlineLevel="0" collapsed="false">
      <c r="A133" s="4" t="s">
        <v>1102</v>
      </c>
      <c r="B133" s="4" t="n">
        <v>100054</v>
      </c>
      <c r="C133" s="4" t="n">
        <v>1227</v>
      </c>
      <c r="D133" s="4" t="n">
        <v>1870</v>
      </c>
      <c r="E133" s="4" t="n">
        <v>1949</v>
      </c>
      <c r="F133" s="4" t="s">
        <v>89</v>
      </c>
      <c r="G133" s="4" t="s">
        <v>211</v>
      </c>
      <c r="H133" s="4" t="s">
        <v>969</v>
      </c>
      <c r="I133" s="4" t="s">
        <v>718</v>
      </c>
      <c r="J133" s="4" t="s">
        <v>910</v>
      </c>
      <c r="K133" s="4" t="s">
        <v>1103</v>
      </c>
    </row>
    <row r="134" customFormat="false" ht="46.25" hidden="false" customHeight="false" outlineLevel="0" collapsed="false">
      <c r="A134" s="4" t="s">
        <v>1104</v>
      </c>
      <c r="B134" s="4" t="n">
        <v>100055</v>
      </c>
      <c r="C134" s="4" t="n">
        <v>1223</v>
      </c>
      <c r="D134" s="4" t="n">
        <v>1873</v>
      </c>
      <c r="E134" s="4" t="n">
        <v>1960</v>
      </c>
      <c r="F134" s="4" t="s">
        <v>183</v>
      </c>
      <c r="G134" s="4" t="s">
        <v>184</v>
      </c>
      <c r="H134" s="4" t="s">
        <v>969</v>
      </c>
      <c r="I134" s="4" t="s">
        <v>718</v>
      </c>
      <c r="J134" s="4" t="s">
        <v>796</v>
      </c>
      <c r="K134" s="4" t="s">
        <v>1105</v>
      </c>
    </row>
    <row r="135" customFormat="false" ht="46.25" hidden="false" customHeight="false" outlineLevel="0" collapsed="false">
      <c r="A135" s="4" t="s">
        <v>1106</v>
      </c>
      <c r="B135" s="4" t="n">
        <v>100056</v>
      </c>
      <c r="C135" s="4" t="n">
        <v>1170</v>
      </c>
      <c r="D135" s="4" t="n">
        <v>1893</v>
      </c>
      <c r="E135" s="4" t="n">
        <v>1960</v>
      </c>
      <c r="F135" s="4" t="s">
        <v>183</v>
      </c>
      <c r="G135" s="4" t="s">
        <v>184</v>
      </c>
      <c r="H135" s="4" t="s">
        <v>969</v>
      </c>
      <c r="I135" s="4" t="s">
        <v>718</v>
      </c>
      <c r="J135" s="4" t="s">
        <v>915</v>
      </c>
      <c r="K135" s="4" t="s">
        <v>1083</v>
      </c>
    </row>
    <row r="136" customFormat="false" ht="46.25" hidden="false" customHeight="false" outlineLevel="0" collapsed="false">
      <c r="A136" s="4" t="s">
        <v>1107</v>
      </c>
      <c r="B136" s="4" t="n">
        <v>100059</v>
      </c>
      <c r="C136" s="4" t="n">
        <v>1130</v>
      </c>
      <c r="D136" s="4" t="n">
        <v>1873</v>
      </c>
      <c r="E136" s="4" t="n">
        <v>1935</v>
      </c>
      <c r="F136" s="4" t="s">
        <v>128</v>
      </c>
      <c r="G136" s="4" t="s">
        <v>129</v>
      </c>
      <c r="H136" s="4" t="s">
        <v>969</v>
      </c>
      <c r="I136" s="4" t="s">
        <v>718</v>
      </c>
      <c r="J136" s="4" t="s">
        <v>1108</v>
      </c>
      <c r="K136" s="4" t="s">
        <v>1109</v>
      </c>
    </row>
    <row r="137" customFormat="false" ht="46.25" hidden="false" customHeight="false" outlineLevel="0" collapsed="false">
      <c r="A137" s="4" t="s">
        <v>1110</v>
      </c>
      <c r="B137" s="4" t="n">
        <v>100060</v>
      </c>
      <c r="C137" s="4" t="n">
        <v>1126</v>
      </c>
      <c r="D137" s="4" t="n">
        <v>1916</v>
      </c>
      <c r="E137" s="4" t="n">
        <v>1958</v>
      </c>
      <c r="F137" s="4" t="s">
        <v>489</v>
      </c>
      <c r="G137" s="4" t="s">
        <v>490</v>
      </c>
      <c r="H137" s="4" t="s">
        <v>969</v>
      </c>
      <c r="I137" s="4" t="s">
        <v>747</v>
      </c>
      <c r="J137" s="4" t="s">
        <v>1111</v>
      </c>
      <c r="K137" s="4" t="s">
        <v>1112</v>
      </c>
    </row>
    <row r="138" customFormat="false" ht="46.25" hidden="false" customHeight="false" outlineLevel="0" collapsed="false">
      <c r="A138" s="4" t="s">
        <v>1113</v>
      </c>
      <c r="B138" s="4" t="n">
        <v>100061</v>
      </c>
      <c r="C138" s="4" t="n">
        <v>1125</v>
      </c>
      <c r="D138" s="4" t="n">
        <v>1892</v>
      </c>
      <c r="E138" s="4" t="n">
        <v>1962</v>
      </c>
      <c r="F138" s="4" t="s">
        <v>81</v>
      </c>
      <c r="G138" s="4" t="s">
        <v>82</v>
      </c>
      <c r="H138" s="4" t="s">
        <v>969</v>
      </c>
      <c r="I138" s="4" t="s">
        <v>747</v>
      </c>
      <c r="J138" s="4" t="s">
        <v>1114</v>
      </c>
      <c r="K138" s="4" t="s">
        <v>1115</v>
      </c>
    </row>
    <row r="139" customFormat="false" ht="46.25" hidden="false" customHeight="false" outlineLevel="0" collapsed="false">
      <c r="A139" s="4" t="s">
        <v>1116</v>
      </c>
      <c r="B139" s="4" t="n">
        <v>100057</v>
      </c>
      <c r="C139" s="4" t="n">
        <v>1116</v>
      </c>
      <c r="D139" s="4" t="n">
        <v>1896</v>
      </c>
      <c r="E139" s="4" t="n">
        <v>1935</v>
      </c>
      <c r="F139" s="4" t="s">
        <v>594</v>
      </c>
      <c r="G139" s="4" t="s">
        <v>595</v>
      </c>
      <c r="H139" s="4" t="s">
        <v>969</v>
      </c>
      <c r="I139" s="4" t="s">
        <v>718</v>
      </c>
      <c r="J139" s="4" t="s">
        <v>780</v>
      </c>
      <c r="K139" s="4" t="s">
        <v>1117</v>
      </c>
    </row>
    <row r="140" customFormat="false" ht="46.25" hidden="false" customHeight="false" outlineLevel="0" collapsed="false">
      <c r="A140" s="4" t="s">
        <v>1118</v>
      </c>
      <c r="B140" s="4" t="n">
        <v>100062</v>
      </c>
      <c r="C140" s="4" t="n">
        <v>1068</v>
      </c>
      <c r="D140" s="4" t="n">
        <v>1901</v>
      </c>
      <c r="E140" s="4" t="n">
        <v>1958</v>
      </c>
      <c r="F140" s="4" t="s">
        <v>489</v>
      </c>
      <c r="G140" s="4" t="s">
        <v>490</v>
      </c>
      <c r="H140" s="4" t="s">
        <v>969</v>
      </c>
      <c r="I140" s="4" t="s">
        <v>747</v>
      </c>
      <c r="J140" s="4" t="s">
        <v>1119</v>
      </c>
      <c r="K140" s="4" t="s">
        <v>1120</v>
      </c>
    </row>
    <row r="141" customFormat="false" ht="46.25" hidden="false" customHeight="false" outlineLevel="0" collapsed="false">
      <c r="A141" s="4" t="s">
        <v>1121</v>
      </c>
      <c r="B141" s="4" t="n">
        <v>100063</v>
      </c>
      <c r="C141" s="4" t="n">
        <v>1060</v>
      </c>
      <c r="D141" s="4" t="n">
        <v>1893</v>
      </c>
      <c r="E141" s="4" t="n">
        <v>1960</v>
      </c>
      <c r="F141" s="4" t="s">
        <v>201</v>
      </c>
      <c r="G141" s="4" t="s">
        <v>202</v>
      </c>
      <c r="H141" s="4" t="s">
        <v>969</v>
      </c>
      <c r="I141" s="4" t="s">
        <v>718</v>
      </c>
      <c r="J141" s="4" t="s">
        <v>915</v>
      </c>
      <c r="K141" s="4" t="s">
        <v>1122</v>
      </c>
    </row>
    <row r="142" customFormat="false" ht="46.25" hidden="false" customHeight="false" outlineLevel="0" collapsed="false">
      <c r="A142" s="4" t="s">
        <v>1123</v>
      </c>
      <c r="B142" s="4" t="n">
        <v>100064</v>
      </c>
      <c r="C142" s="4" t="n">
        <v>1036</v>
      </c>
      <c r="D142" s="4" t="n">
        <v>1873</v>
      </c>
      <c r="E142" s="4" t="n">
        <v>1961</v>
      </c>
      <c r="F142" s="4" t="s">
        <v>162</v>
      </c>
      <c r="G142" s="4" t="s">
        <v>163</v>
      </c>
      <c r="H142" s="4" t="s">
        <v>969</v>
      </c>
      <c r="I142" s="4" t="s">
        <v>718</v>
      </c>
      <c r="J142" s="4" t="s">
        <v>1124</v>
      </c>
      <c r="K142" s="4" t="s">
        <v>1125</v>
      </c>
    </row>
    <row r="143" customFormat="false" ht="46.25" hidden="false" customHeight="false" outlineLevel="0" collapsed="false">
      <c r="A143" s="4" t="s">
        <v>1126</v>
      </c>
      <c r="B143" s="4" t="n">
        <v>100065</v>
      </c>
      <c r="C143" s="4" t="n">
        <v>1002</v>
      </c>
      <c r="D143" s="4" t="n">
        <v>1900</v>
      </c>
      <c r="E143" s="4" t="n">
        <v>1961</v>
      </c>
      <c r="F143" s="4" t="s">
        <v>173</v>
      </c>
      <c r="G143" s="4" t="s">
        <v>174</v>
      </c>
      <c r="H143" s="4" t="s">
        <v>969</v>
      </c>
      <c r="I143" s="4" t="s">
        <v>718</v>
      </c>
      <c r="J143" s="4" t="s">
        <v>1085</v>
      </c>
      <c r="K143" s="4" t="s">
        <v>1086</v>
      </c>
    </row>
    <row r="144" customFormat="false" ht="46.25" hidden="false" customHeight="false" outlineLevel="0" collapsed="false">
      <c r="A144" s="4" t="s">
        <v>1127</v>
      </c>
      <c r="B144" s="4" t="n">
        <v>100066</v>
      </c>
      <c r="C144" s="4" t="n">
        <v>1000</v>
      </c>
      <c r="D144" s="4" t="n">
        <v>1902</v>
      </c>
      <c r="E144" s="4" t="n">
        <v>1961</v>
      </c>
      <c r="F144" s="4" t="s">
        <v>257</v>
      </c>
      <c r="G144" s="4" t="s">
        <v>258</v>
      </c>
      <c r="H144" s="4" t="s">
        <v>969</v>
      </c>
      <c r="I144" s="4" t="s">
        <v>718</v>
      </c>
      <c r="J144" s="4" t="s">
        <v>1128</v>
      </c>
      <c r="K144" s="4" t="s">
        <v>1129</v>
      </c>
    </row>
    <row r="145" customFormat="false" ht="46.25" hidden="false" customHeight="false" outlineLevel="0" collapsed="false">
      <c r="A145" s="4" t="s">
        <v>1130</v>
      </c>
      <c r="B145" s="4" t="n">
        <v>100067</v>
      </c>
      <c r="C145" s="4" t="n">
        <v>985</v>
      </c>
      <c r="D145" s="4" t="n">
        <v>1870</v>
      </c>
      <c r="E145" s="4" t="n">
        <v>1949</v>
      </c>
      <c r="F145" s="4" t="s">
        <v>89</v>
      </c>
      <c r="G145" s="4" t="s">
        <v>211</v>
      </c>
      <c r="H145" s="4" t="s">
        <v>969</v>
      </c>
      <c r="I145" s="4" t="s">
        <v>718</v>
      </c>
      <c r="J145" s="4" t="s">
        <v>910</v>
      </c>
      <c r="K145" s="4" t="s">
        <v>1103</v>
      </c>
    </row>
    <row r="146" customFormat="false" ht="46.25" hidden="false" customHeight="false" outlineLevel="0" collapsed="false">
      <c r="A146" s="4" t="s">
        <v>1131</v>
      </c>
      <c r="B146" s="4" t="n">
        <v>100068</v>
      </c>
      <c r="C146" s="4" t="n">
        <v>979</v>
      </c>
      <c r="D146" s="4" t="n">
        <v>1917</v>
      </c>
      <c r="E146" s="4" t="n">
        <v>1923</v>
      </c>
      <c r="F146" s="4" t="s">
        <v>567</v>
      </c>
      <c r="G146" s="4" t="s">
        <v>568</v>
      </c>
      <c r="H146" s="4" t="s">
        <v>969</v>
      </c>
      <c r="I146" s="4" t="s">
        <v>994</v>
      </c>
      <c r="J146" s="4" t="s">
        <v>1132</v>
      </c>
      <c r="K146" s="4" t="s">
        <v>1133</v>
      </c>
    </row>
    <row r="147" customFormat="false" ht="46.25" hidden="false" customHeight="false" outlineLevel="0" collapsed="false">
      <c r="A147" s="4" t="s">
        <v>1134</v>
      </c>
      <c r="B147" s="4" t="n">
        <v>100069</v>
      </c>
      <c r="C147" s="4" t="n">
        <v>954</v>
      </c>
      <c r="D147" s="4" t="n">
        <v>1899</v>
      </c>
      <c r="E147" s="4" t="n">
        <v>1958</v>
      </c>
      <c r="F147" s="4" t="s">
        <v>322</v>
      </c>
      <c r="G147" s="4" t="s">
        <v>323</v>
      </c>
      <c r="H147" s="4" t="s">
        <v>969</v>
      </c>
      <c r="I147" s="4" t="s">
        <v>718</v>
      </c>
      <c r="J147" s="4" t="s">
        <v>1038</v>
      </c>
      <c r="K147" s="4" t="s">
        <v>1081</v>
      </c>
    </row>
    <row r="148" customFormat="false" ht="46.25" hidden="false" customHeight="false" outlineLevel="0" collapsed="false">
      <c r="A148" s="4" t="s">
        <v>1135</v>
      </c>
      <c r="B148" s="4" t="n">
        <v>100070</v>
      </c>
      <c r="C148" s="4" t="n">
        <v>950</v>
      </c>
      <c r="D148" s="4" t="n">
        <v>1872</v>
      </c>
      <c r="E148" s="4" t="n">
        <v>1962</v>
      </c>
      <c r="F148" s="4" t="s">
        <v>152</v>
      </c>
      <c r="G148" s="4" t="s">
        <v>153</v>
      </c>
      <c r="H148" s="4" t="s">
        <v>969</v>
      </c>
      <c r="I148" s="4" t="s">
        <v>718</v>
      </c>
      <c r="J148" s="4" t="s">
        <v>802</v>
      </c>
      <c r="K148" s="4" t="s">
        <v>1136</v>
      </c>
    </row>
    <row r="149" customFormat="false" ht="46.25" hidden="false" customHeight="false" outlineLevel="0" collapsed="false">
      <c r="A149" s="4" t="s">
        <v>1137</v>
      </c>
      <c r="B149" s="4" t="n">
        <v>100074</v>
      </c>
      <c r="C149" s="4" t="n">
        <v>876</v>
      </c>
      <c r="D149" s="4" t="n">
        <v>1862</v>
      </c>
      <c r="E149" s="4" t="n">
        <v>1962</v>
      </c>
      <c r="F149" s="4" t="s">
        <v>51</v>
      </c>
      <c r="G149" s="4" t="s">
        <v>52</v>
      </c>
      <c r="H149" s="4" t="s">
        <v>969</v>
      </c>
      <c r="I149" s="4" t="s">
        <v>747</v>
      </c>
      <c r="J149" s="4" t="s">
        <v>748</v>
      </c>
      <c r="K149" s="4" t="s">
        <v>1088</v>
      </c>
    </row>
    <row r="150" customFormat="false" ht="46.25" hidden="false" customHeight="false" outlineLevel="0" collapsed="false">
      <c r="A150" s="4" t="s">
        <v>1138</v>
      </c>
      <c r="B150" s="4" t="n">
        <v>100076</v>
      </c>
      <c r="C150" s="4" t="n">
        <v>841</v>
      </c>
      <c r="D150" s="4" t="n">
        <v>1893</v>
      </c>
      <c r="E150" s="4" t="n">
        <v>1962</v>
      </c>
      <c r="F150" s="4" t="s">
        <v>376</v>
      </c>
      <c r="G150" s="4" t="s">
        <v>377</v>
      </c>
      <c r="H150" s="4" t="s">
        <v>969</v>
      </c>
      <c r="I150" s="4" t="s">
        <v>747</v>
      </c>
      <c r="J150" s="4" t="s">
        <v>1139</v>
      </c>
      <c r="K150" s="4" t="s">
        <v>1140</v>
      </c>
    </row>
    <row r="151" customFormat="false" ht="46.25" hidden="false" customHeight="false" outlineLevel="0" collapsed="false">
      <c r="A151" s="4" t="s">
        <v>1141</v>
      </c>
      <c r="B151" s="4" t="n">
        <v>100077</v>
      </c>
      <c r="C151" s="4" t="n">
        <v>828</v>
      </c>
      <c r="D151" s="4" t="n">
        <v>1901</v>
      </c>
      <c r="E151" s="4" t="n">
        <v>1958</v>
      </c>
      <c r="F151" s="4" t="s">
        <v>489</v>
      </c>
      <c r="G151" s="4" t="s">
        <v>490</v>
      </c>
      <c r="H151" s="4" t="s">
        <v>969</v>
      </c>
      <c r="I151" s="4" t="s">
        <v>747</v>
      </c>
      <c r="J151" s="4" t="s">
        <v>1119</v>
      </c>
      <c r="K151" s="4" t="s">
        <v>1120</v>
      </c>
    </row>
    <row r="152" customFormat="false" ht="46.25" hidden="false" customHeight="false" outlineLevel="0" collapsed="false">
      <c r="A152" s="4" t="s">
        <v>1142</v>
      </c>
      <c r="B152" s="4" t="n">
        <v>100078</v>
      </c>
      <c r="C152" s="4" t="n">
        <v>820</v>
      </c>
      <c r="D152" s="4" t="n">
        <v>1875</v>
      </c>
      <c r="E152" s="4" t="n">
        <v>1961</v>
      </c>
      <c r="F152" s="4" t="s">
        <v>257</v>
      </c>
      <c r="G152" s="4" t="s">
        <v>258</v>
      </c>
      <c r="H152" s="4" t="s">
        <v>969</v>
      </c>
      <c r="I152" s="4" t="s">
        <v>718</v>
      </c>
      <c r="J152" s="4" t="s">
        <v>734</v>
      </c>
      <c r="K152" s="4" t="s">
        <v>1143</v>
      </c>
    </row>
    <row r="153" customFormat="false" ht="46.25" hidden="false" customHeight="false" outlineLevel="0" collapsed="false">
      <c r="A153" s="4" t="s">
        <v>1144</v>
      </c>
      <c r="B153" s="4" t="n">
        <v>100080</v>
      </c>
      <c r="C153" s="4" t="n">
        <v>813</v>
      </c>
      <c r="D153" s="4" t="n">
        <v>1872</v>
      </c>
      <c r="E153" s="4" t="n">
        <v>1933</v>
      </c>
      <c r="F153" s="4" t="s">
        <v>115</v>
      </c>
      <c r="G153" s="4" t="s">
        <v>116</v>
      </c>
      <c r="H153" s="4" t="s">
        <v>969</v>
      </c>
      <c r="I153" s="4" t="s">
        <v>718</v>
      </c>
      <c r="J153" s="4" t="s">
        <v>1145</v>
      </c>
      <c r="K153" s="4" t="s">
        <v>1146</v>
      </c>
    </row>
    <row r="154" customFormat="false" ht="46.25" hidden="false" customHeight="false" outlineLevel="0" collapsed="false">
      <c r="A154" s="4" t="s">
        <v>1147</v>
      </c>
      <c r="B154" s="4" t="n">
        <v>100081</v>
      </c>
      <c r="C154" s="4" t="n">
        <v>813</v>
      </c>
      <c r="D154" s="4" t="n">
        <v>1907</v>
      </c>
      <c r="E154" s="4" t="n">
        <v>1962</v>
      </c>
      <c r="F154" s="4" t="s">
        <v>81</v>
      </c>
      <c r="G154" s="4" t="s">
        <v>82</v>
      </c>
      <c r="H154" s="4" t="s">
        <v>969</v>
      </c>
      <c r="I154" s="4" t="s">
        <v>747</v>
      </c>
      <c r="J154" s="4" t="s">
        <v>1148</v>
      </c>
      <c r="K154" s="4" t="s">
        <v>1149</v>
      </c>
    </row>
    <row r="155" customFormat="false" ht="46.25" hidden="false" customHeight="false" outlineLevel="0" collapsed="false">
      <c r="A155" s="4" t="s">
        <v>1150</v>
      </c>
      <c r="B155" s="4" t="n">
        <v>100082</v>
      </c>
      <c r="C155" s="4" t="n">
        <v>798</v>
      </c>
      <c r="D155" s="4" t="n">
        <v>1890</v>
      </c>
      <c r="E155" s="4" t="n">
        <v>1958</v>
      </c>
      <c r="F155" s="4" t="s">
        <v>322</v>
      </c>
      <c r="G155" s="4" t="s">
        <v>323</v>
      </c>
      <c r="H155" s="4" t="s">
        <v>969</v>
      </c>
      <c r="I155" s="4" t="s">
        <v>718</v>
      </c>
      <c r="J155" s="4" t="s">
        <v>1151</v>
      </c>
      <c r="K155" s="4" t="s">
        <v>1152</v>
      </c>
    </row>
    <row r="156" customFormat="false" ht="46.25" hidden="false" customHeight="false" outlineLevel="0" collapsed="false">
      <c r="A156" s="4" t="s">
        <v>1153</v>
      </c>
      <c r="B156" s="4" t="n">
        <v>100083</v>
      </c>
      <c r="C156" s="4" t="n">
        <v>786</v>
      </c>
      <c r="D156" s="4" t="n">
        <v>1892</v>
      </c>
      <c r="E156" s="4" t="n">
        <v>1935</v>
      </c>
      <c r="F156" s="4" t="s">
        <v>365</v>
      </c>
      <c r="G156" s="4" t="s">
        <v>366</v>
      </c>
      <c r="H156" s="4" t="s">
        <v>969</v>
      </c>
      <c r="I156" s="4" t="s">
        <v>747</v>
      </c>
      <c r="J156" s="4" t="s">
        <v>1114</v>
      </c>
      <c r="K156" s="4" t="s">
        <v>992</v>
      </c>
    </row>
    <row r="157" customFormat="false" ht="46.25" hidden="false" customHeight="false" outlineLevel="0" collapsed="false">
      <c r="A157" s="4" t="s">
        <v>1154</v>
      </c>
      <c r="B157" s="4" t="n">
        <v>100087</v>
      </c>
      <c r="C157" s="4" t="n">
        <v>767</v>
      </c>
      <c r="D157" s="4" t="n">
        <v>1893</v>
      </c>
      <c r="E157" s="4" t="n">
        <v>1960</v>
      </c>
      <c r="F157" s="4" t="s">
        <v>194</v>
      </c>
      <c r="G157" s="4" t="s">
        <v>195</v>
      </c>
      <c r="H157" s="4" t="s">
        <v>969</v>
      </c>
      <c r="I157" s="4" t="s">
        <v>718</v>
      </c>
      <c r="J157" s="4" t="s">
        <v>915</v>
      </c>
      <c r="K157" s="4" t="s">
        <v>1155</v>
      </c>
    </row>
    <row r="158" customFormat="false" ht="46.25" hidden="false" customHeight="false" outlineLevel="0" collapsed="false">
      <c r="A158" s="4" t="s">
        <v>1156</v>
      </c>
      <c r="B158" s="4" t="n">
        <v>100088</v>
      </c>
      <c r="C158" s="4" t="n">
        <v>764</v>
      </c>
      <c r="D158" s="4" t="n">
        <v>1902</v>
      </c>
      <c r="E158" s="4" t="n">
        <v>1949</v>
      </c>
      <c r="F158" s="4" t="s">
        <v>352</v>
      </c>
      <c r="G158" s="4" t="s">
        <v>354</v>
      </c>
      <c r="H158" s="4" t="s">
        <v>969</v>
      </c>
      <c r="I158" s="4" t="s">
        <v>718</v>
      </c>
      <c r="J158" s="4" t="s">
        <v>1157</v>
      </c>
      <c r="K158" s="4" t="s">
        <v>1024</v>
      </c>
    </row>
    <row r="159" customFormat="false" ht="46.25" hidden="false" customHeight="false" outlineLevel="0" collapsed="false">
      <c r="A159" s="4" t="s">
        <v>1158</v>
      </c>
      <c r="B159" s="4" t="n">
        <v>100098</v>
      </c>
      <c r="C159" s="4" t="n">
        <v>758</v>
      </c>
      <c r="D159" s="4" t="n">
        <v>1865</v>
      </c>
      <c r="E159" s="4" t="n">
        <v>1961</v>
      </c>
      <c r="F159" s="4" t="s">
        <v>102</v>
      </c>
      <c r="G159" s="4" t="s">
        <v>103</v>
      </c>
      <c r="H159" s="4" t="s">
        <v>969</v>
      </c>
      <c r="I159" s="4" t="s">
        <v>718</v>
      </c>
      <c r="J159" s="4" t="s">
        <v>1159</v>
      </c>
      <c r="K159" s="4" t="s">
        <v>1160</v>
      </c>
    </row>
    <row r="160" customFormat="false" ht="46.25" hidden="false" customHeight="false" outlineLevel="0" collapsed="false">
      <c r="A160" s="4" t="s">
        <v>1161</v>
      </c>
      <c r="B160" s="4" t="n">
        <v>100090</v>
      </c>
      <c r="C160" s="4" t="n">
        <v>753</v>
      </c>
      <c r="D160" s="4" t="n">
        <v>1875</v>
      </c>
      <c r="E160" s="4" t="n">
        <v>1960</v>
      </c>
      <c r="F160" s="4" t="s">
        <v>68</v>
      </c>
      <c r="G160" s="4" t="s">
        <v>69</v>
      </c>
      <c r="H160" s="4" t="s">
        <v>969</v>
      </c>
      <c r="I160" s="4" t="s">
        <v>747</v>
      </c>
      <c r="J160" s="4" t="s">
        <v>920</v>
      </c>
      <c r="K160" s="4" t="s">
        <v>1162</v>
      </c>
    </row>
    <row r="161" customFormat="false" ht="46.25" hidden="false" customHeight="false" outlineLevel="0" collapsed="false">
      <c r="A161" s="4" t="s">
        <v>1163</v>
      </c>
      <c r="B161" s="4" t="n">
        <v>100091</v>
      </c>
      <c r="C161" s="4" t="n">
        <v>748</v>
      </c>
      <c r="D161" s="4" t="n">
        <v>1862</v>
      </c>
      <c r="E161" s="4" t="n">
        <v>1962</v>
      </c>
      <c r="F161" s="4" t="s">
        <v>51</v>
      </c>
      <c r="G161" s="4" t="s">
        <v>52</v>
      </c>
      <c r="H161" s="4" t="s">
        <v>969</v>
      </c>
      <c r="I161" s="4" t="s">
        <v>747</v>
      </c>
      <c r="J161" s="4" t="s">
        <v>748</v>
      </c>
      <c r="K161" s="4" t="s">
        <v>1088</v>
      </c>
    </row>
    <row r="162" customFormat="false" ht="46.25" hidden="false" customHeight="false" outlineLevel="0" collapsed="false">
      <c r="A162" s="4" t="s">
        <v>1164</v>
      </c>
      <c r="B162" s="4" t="n">
        <v>100092</v>
      </c>
      <c r="C162" s="4" t="n">
        <v>738</v>
      </c>
      <c r="D162" s="4" t="n">
        <v>1936</v>
      </c>
      <c r="E162" s="4" t="n">
        <v>1961</v>
      </c>
      <c r="F162" s="4" t="s">
        <v>115</v>
      </c>
      <c r="G162" s="4" t="s">
        <v>116</v>
      </c>
      <c r="H162" s="4" t="s">
        <v>969</v>
      </c>
      <c r="I162" s="4" t="s">
        <v>718</v>
      </c>
      <c r="J162" s="4" t="s">
        <v>1165</v>
      </c>
      <c r="K162" s="4" t="s">
        <v>1166</v>
      </c>
    </row>
    <row r="163" customFormat="false" ht="46.25" hidden="false" customHeight="false" outlineLevel="0" collapsed="false">
      <c r="A163" s="4" t="s">
        <v>1167</v>
      </c>
      <c r="B163" s="4" t="n">
        <v>100085</v>
      </c>
      <c r="C163" s="4" t="n">
        <v>735</v>
      </c>
      <c r="D163" s="4" t="n">
        <v>1906</v>
      </c>
      <c r="E163" s="4" t="n">
        <v>1923</v>
      </c>
      <c r="F163" s="4" t="s">
        <v>680</v>
      </c>
      <c r="G163" s="4" t="s">
        <v>681</v>
      </c>
      <c r="H163" s="4" t="s">
        <v>969</v>
      </c>
      <c r="I163" s="4" t="s">
        <v>956</v>
      </c>
      <c r="J163" s="4" t="s">
        <v>970</v>
      </c>
      <c r="K163" s="4" t="s">
        <v>971</v>
      </c>
    </row>
    <row r="164" customFormat="false" ht="46.25" hidden="false" customHeight="false" outlineLevel="0" collapsed="false">
      <c r="A164" s="4" t="s">
        <v>1168</v>
      </c>
      <c r="B164" s="4" t="n">
        <v>100093</v>
      </c>
      <c r="C164" s="4" t="n">
        <v>734</v>
      </c>
      <c r="D164" s="4" t="n">
        <v>1862</v>
      </c>
      <c r="E164" s="4" t="n">
        <v>1960</v>
      </c>
      <c r="F164" s="4" t="s">
        <v>68</v>
      </c>
      <c r="G164" s="4" t="s">
        <v>69</v>
      </c>
      <c r="H164" s="4" t="s">
        <v>969</v>
      </c>
      <c r="I164" s="4" t="s">
        <v>747</v>
      </c>
      <c r="J164" s="4" t="s">
        <v>742</v>
      </c>
      <c r="K164" s="4" t="s">
        <v>1169</v>
      </c>
    </row>
    <row r="165" customFormat="false" ht="46.25" hidden="false" customHeight="false" outlineLevel="0" collapsed="false">
      <c r="A165" s="4" t="s">
        <v>1170</v>
      </c>
      <c r="B165" s="4" t="n">
        <v>100094</v>
      </c>
      <c r="C165" s="4" t="n">
        <v>729</v>
      </c>
      <c r="D165" s="4" t="n">
        <v>1873</v>
      </c>
      <c r="E165" s="4" t="n">
        <v>1935</v>
      </c>
      <c r="F165" s="4" t="s">
        <v>128</v>
      </c>
      <c r="G165" s="4" t="s">
        <v>129</v>
      </c>
      <c r="H165" s="4" t="s">
        <v>969</v>
      </c>
      <c r="I165" s="4" t="s">
        <v>718</v>
      </c>
      <c r="J165" s="4" t="s">
        <v>1108</v>
      </c>
      <c r="K165" s="4" t="s">
        <v>1109</v>
      </c>
    </row>
    <row r="166" customFormat="false" ht="46.25" hidden="false" customHeight="false" outlineLevel="0" collapsed="false">
      <c r="A166" s="4" t="s">
        <v>1171</v>
      </c>
      <c r="B166" s="4" t="n">
        <v>100097</v>
      </c>
      <c r="C166" s="4" t="n">
        <v>721</v>
      </c>
      <c r="D166" s="4" t="n">
        <v>1862</v>
      </c>
      <c r="E166" s="4" t="n">
        <v>1962</v>
      </c>
      <c r="F166" s="4" t="s">
        <v>51</v>
      </c>
      <c r="G166" s="4" t="s">
        <v>52</v>
      </c>
      <c r="H166" s="4" t="s">
        <v>969</v>
      </c>
      <c r="I166" s="4" t="s">
        <v>747</v>
      </c>
      <c r="J166" s="4" t="s">
        <v>748</v>
      </c>
      <c r="K166" s="4" t="s">
        <v>1088</v>
      </c>
    </row>
    <row r="167" customFormat="false" ht="46.25" hidden="false" customHeight="false" outlineLevel="0" collapsed="false">
      <c r="A167" s="4" t="s">
        <v>1172</v>
      </c>
      <c r="B167" s="4" t="n">
        <v>100099</v>
      </c>
      <c r="C167" s="4" t="n">
        <v>715</v>
      </c>
      <c r="D167" s="4" t="n">
        <v>1908</v>
      </c>
      <c r="E167" s="4" t="n">
        <v>1962</v>
      </c>
      <c r="F167" s="4" t="s">
        <v>387</v>
      </c>
      <c r="G167" s="4" t="s">
        <v>388</v>
      </c>
      <c r="H167" s="4" t="s">
        <v>969</v>
      </c>
      <c r="I167" s="4" t="s">
        <v>747</v>
      </c>
      <c r="J167" s="4" t="s">
        <v>962</v>
      </c>
      <c r="K167" s="4" t="s">
        <v>1079</v>
      </c>
    </row>
    <row r="168" customFormat="false" ht="46.25" hidden="false" customHeight="false" outlineLevel="0" collapsed="false">
      <c r="A168" s="4" t="s">
        <v>1173</v>
      </c>
      <c r="B168" s="4" t="n">
        <v>100103</v>
      </c>
      <c r="C168" s="4" t="n">
        <v>694</v>
      </c>
      <c r="D168" s="4" t="n">
        <v>1873</v>
      </c>
      <c r="E168" s="4" t="n">
        <v>1960</v>
      </c>
      <c r="F168" s="4" t="s">
        <v>183</v>
      </c>
      <c r="G168" s="4" t="s">
        <v>184</v>
      </c>
      <c r="H168" s="4" t="s">
        <v>969</v>
      </c>
      <c r="I168" s="4" t="s">
        <v>718</v>
      </c>
      <c r="J168" s="4" t="s">
        <v>796</v>
      </c>
      <c r="K168" s="4" t="s">
        <v>1105</v>
      </c>
    </row>
    <row r="169" customFormat="false" ht="46.25" hidden="false" customHeight="false" outlineLevel="0" collapsed="false">
      <c r="A169" s="4" t="s">
        <v>1174</v>
      </c>
      <c r="B169" s="4" t="n">
        <v>100100</v>
      </c>
      <c r="C169" s="4" t="n">
        <v>676</v>
      </c>
      <c r="D169" s="4" t="n">
        <v>1908</v>
      </c>
      <c r="E169" s="4" t="n">
        <v>1962</v>
      </c>
      <c r="F169" s="4" t="s">
        <v>387</v>
      </c>
      <c r="G169" s="4" t="s">
        <v>388</v>
      </c>
      <c r="H169" s="4" t="s">
        <v>969</v>
      </c>
      <c r="I169" s="4" t="s">
        <v>747</v>
      </c>
      <c r="J169" s="4" t="s">
        <v>962</v>
      </c>
      <c r="K169" s="4" t="s">
        <v>1079</v>
      </c>
    </row>
    <row r="170" customFormat="false" ht="57.45" hidden="false" customHeight="false" outlineLevel="0" collapsed="false">
      <c r="A170" s="4" t="s">
        <v>1175</v>
      </c>
      <c r="B170" s="4" t="n">
        <v>100104</v>
      </c>
      <c r="C170" s="4" t="n">
        <v>675</v>
      </c>
      <c r="D170" s="4" t="n">
        <v>1906</v>
      </c>
      <c r="E170" s="4" t="n">
        <v>1939</v>
      </c>
      <c r="F170" s="4" t="s">
        <v>669</v>
      </c>
      <c r="G170" s="4" t="s">
        <v>670</v>
      </c>
      <c r="H170" s="4" t="s">
        <v>969</v>
      </c>
      <c r="I170" s="4" t="s">
        <v>956</v>
      </c>
      <c r="J170" s="4" t="s">
        <v>1061</v>
      </c>
      <c r="K170" s="4" t="s">
        <v>1062</v>
      </c>
    </row>
    <row r="171" customFormat="false" ht="46.25" hidden="false" customHeight="false" outlineLevel="0" collapsed="false">
      <c r="A171" s="4" t="s">
        <v>1176</v>
      </c>
      <c r="B171" s="4" t="n">
        <v>100105</v>
      </c>
      <c r="C171" s="4" t="n">
        <v>673</v>
      </c>
      <c r="D171" s="4" t="n">
        <v>1901</v>
      </c>
      <c r="E171" s="4" t="n">
        <v>1962</v>
      </c>
      <c r="F171" s="4" t="s">
        <v>51</v>
      </c>
      <c r="G171" s="4" t="s">
        <v>52</v>
      </c>
      <c r="H171" s="4" t="s">
        <v>969</v>
      </c>
      <c r="I171" s="4" t="s">
        <v>747</v>
      </c>
      <c r="J171" s="4" t="s">
        <v>1177</v>
      </c>
      <c r="K171" s="4" t="s">
        <v>1178</v>
      </c>
    </row>
    <row r="172" customFormat="false" ht="46.25" hidden="false" customHeight="false" outlineLevel="0" collapsed="false">
      <c r="A172" s="4" t="s">
        <v>1179</v>
      </c>
      <c r="B172" s="4" t="n">
        <v>100106</v>
      </c>
      <c r="C172" s="4" t="n">
        <v>647</v>
      </c>
      <c r="D172" s="4" t="n">
        <v>1901</v>
      </c>
      <c r="E172" s="4" t="n">
        <v>1958</v>
      </c>
      <c r="F172" s="4" t="s">
        <v>489</v>
      </c>
      <c r="G172" s="4" t="s">
        <v>490</v>
      </c>
      <c r="H172" s="4" t="s">
        <v>969</v>
      </c>
      <c r="I172" s="4" t="s">
        <v>747</v>
      </c>
      <c r="J172" s="4" t="s">
        <v>1119</v>
      </c>
      <c r="K172" s="4" t="s">
        <v>1120</v>
      </c>
    </row>
    <row r="173" customFormat="false" ht="46.25" hidden="false" customHeight="false" outlineLevel="0" collapsed="false">
      <c r="A173" s="4" t="s">
        <v>1180</v>
      </c>
      <c r="B173" s="4" t="n">
        <v>100107</v>
      </c>
      <c r="C173" s="4" t="n">
        <v>635</v>
      </c>
      <c r="D173" s="4" t="n">
        <v>1894</v>
      </c>
      <c r="E173" s="4" t="n">
        <v>1908</v>
      </c>
      <c r="F173" s="4" t="s">
        <v>478</v>
      </c>
      <c r="G173" s="4" t="s">
        <v>479</v>
      </c>
      <c r="H173" s="4" t="s">
        <v>969</v>
      </c>
      <c r="I173" s="4" t="s">
        <v>718</v>
      </c>
      <c r="J173" s="4" t="s">
        <v>1181</v>
      </c>
      <c r="K173" s="4" t="s">
        <v>1182</v>
      </c>
    </row>
    <row r="174" customFormat="false" ht="46.25" hidden="false" customHeight="false" outlineLevel="0" collapsed="false">
      <c r="A174" s="4" t="s">
        <v>1183</v>
      </c>
      <c r="B174" s="4" t="n">
        <v>100108</v>
      </c>
      <c r="C174" s="4" t="n">
        <v>634</v>
      </c>
      <c r="D174" s="4" t="n">
        <v>1892</v>
      </c>
      <c r="E174" s="4" t="n">
        <v>1935</v>
      </c>
      <c r="F174" s="4" t="s">
        <v>365</v>
      </c>
      <c r="G174" s="4" t="s">
        <v>366</v>
      </c>
      <c r="H174" s="4" t="s">
        <v>969</v>
      </c>
      <c r="I174" s="4" t="s">
        <v>747</v>
      </c>
      <c r="J174" s="4" t="s">
        <v>1114</v>
      </c>
      <c r="K174" s="4" t="s">
        <v>992</v>
      </c>
    </row>
    <row r="175" customFormat="false" ht="46.25" hidden="false" customHeight="false" outlineLevel="0" collapsed="false">
      <c r="A175" s="4" t="s">
        <v>1184</v>
      </c>
      <c r="B175" s="4" t="n">
        <v>100109</v>
      </c>
      <c r="C175" s="4" t="n">
        <v>633</v>
      </c>
      <c r="D175" s="4" t="n">
        <v>1890</v>
      </c>
      <c r="E175" s="4" t="n">
        <v>1960</v>
      </c>
      <c r="F175" s="4" t="s">
        <v>183</v>
      </c>
      <c r="G175" s="4" t="s">
        <v>184</v>
      </c>
      <c r="H175" s="4" t="s">
        <v>969</v>
      </c>
      <c r="I175" s="4" t="s">
        <v>718</v>
      </c>
      <c r="J175" s="4" t="s">
        <v>893</v>
      </c>
      <c r="K175" s="4" t="s">
        <v>1072</v>
      </c>
    </row>
    <row r="176" customFormat="false" ht="46.25" hidden="false" customHeight="false" outlineLevel="0" collapsed="false">
      <c r="A176" s="4" t="s">
        <v>1185</v>
      </c>
      <c r="B176" s="4" t="n">
        <v>100110</v>
      </c>
      <c r="C176" s="4" t="n">
        <v>629</v>
      </c>
      <c r="D176" s="4" t="n">
        <v>1896</v>
      </c>
      <c r="E176" s="4" t="n">
        <v>1935</v>
      </c>
      <c r="F176" s="4" t="s">
        <v>268</v>
      </c>
      <c r="G176" s="4" t="s">
        <v>269</v>
      </c>
      <c r="H176" s="4" t="s">
        <v>969</v>
      </c>
      <c r="I176" s="4" t="s">
        <v>718</v>
      </c>
      <c r="J176" s="4" t="s">
        <v>780</v>
      </c>
      <c r="K176" s="4" t="s">
        <v>1186</v>
      </c>
    </row>
    <row r="177" customFormat="false" ht="46.25" hidden="false" customHeight="false" outlineLevel="0" collapsed="false">
      <c r="A177" s="4" t="s">
        <v>1187</v>
      </c>
      <c r="B177" s="4" t="n">
        <v>100111</v>
      </c>
      <c r="C177" s="4" t="n">
        <v>627</v>
      </c>
      <c r="D177" s="4" t="n">
        <v>1872</v>
      </c>
      <c r="E177" s="4" t="n">
        <v>1933</v>
      </c>
      <c r="F177" s="4" t="s">
        <v>115</v>
      </c>
      <c r="G177" s="4" t="s">
        <v>116</v>
      </c>
      <c r="H177" s="4" t="s">
        <v>969</v>
      </c>
      <c r="I177" s="4" t="s">
        <v>718</v>
      </c>
      <c r="J177" s="4" t="s">
        <v>1145</v>
      </c>
      <c r="K177" s="4" t="s">
        <v>1146</v>
      </c>
    </row>
    <row r="178" customFormat="false" ht="46.25" hidden="false" customHeight="false" outlineLevel="0" collapsed="false">
      <c r="A178" s="4" t="s">
        <v>1188</v>
      </c>
      <c r="B178" s="4" t="n">
        <v>100122</v>
      </c>
      <c r="C178" s="4" t="n">
        <v>626</v>
      </c>
      <c r="D178" s="4" t="n">
        <v>1873</v>
      </c>
      <c r="E178" s="4" t="n">
        <v>1935</v>
      </c>
      <c r="F178" s="4" t="s">
        <v>128</v>
      </c>
      <c r="G178" s="4" t="s">
        <v>129</v>
      </c>
      <c r="H178" s="4" t="s">
        <v>969</v>
      </c>
      <c r="I178" s="4" t="s">
        <v>718</v>
      </c>
      <c r="J178" s="4" t="s">
        <v>1108</v>
      </c>
      <c r="K178" s="4" t="s">
        <v>1109</v>
      </c>
    </row>
    <row r="179" customFormat="false" ht="46.25" hidden="false" customHeight="false" outlineLevel="0" collapsed="false">
      <c r="A179" s="4" t="s">
        <v>1189</v>
      </c>
      <c r="B179" s="4" t="n">
        <v>100112</v>
      </c>
      <c r="C179" s="4" t="n">
        <v>625</v>
      </c>
      <c r="D179" s="4" t="n">
        <v>1908</v>
      </c>
      <c r="E179" s="4" t="n">
        <v>1962</v>
      </c>
      <c r="F179" s="4" t="s">
        <v>387</v>
      </c>
      <c r="G179" s="4" t="s">
        <v>388</v>
      </c>
      <c r="H179" s="4" t="s">
        <v>969</v>
      </c>
      <c r="I179" s="4" t="s">
        <v>747</v>
      </c>
      <c r="J179" s="4" t="s">
        <v>962</v>
      </c>
      <c r="K179" s="4" t="s">
        <v>1079</v>
      </c>
    </row>
    <row r="180" customFormat="false" ht="46.25" hidden="false" customHeight="false" outlineLevel="0" collapsed="false">
      <c r="A180" s="4" t="s">
        <v>1190</v>
      </c>
      <c r="B180" s="4" t="n">
        <v>100116</v>
      </c>
      <c r="C180" s="4" t="n">
        <v>623</v>
      </c>
      <c r="D180" s="4" t="n">
        <v>1894</v>
      </c>
      <c r="E180" s="4" t="n">
        <v>1961</v>
      </c>
      <c r="F180" s="4" t="s">
        <v>478</v>
      </c>
      <c r="G180" s="4" t="s">
        <v>479</v>
      </c>
      <c r="H180" s="4" t="s">
        <v>969</v>
      </c>
      <c r="I180" s="4" t="s">
        <v>718</v>
      </c>
      <c r="J180" s="4" t="s">
        <v>1096</v>
      </c>
      <c r="K180" s="4" t="s">
        <v>1097</v>
      </c>
    </row>
    <row r="181" customFormat="false" ht="46.25" hidden="false" customHeight="false" outlineLevel="0" collapsed="false">
      <c r="A181" s="4" t="s">
        <v>1191</v>
      </c>
      <c r="B181" s="4" t="n">
        <v>100113</v>
      </c>
      <c r="C181" s="4" t="n">
        <v>620</v>
      </c>
      <c r="D181" s="4" t="n">
        <v>1862</v>
      </c>
      <c r="E181" s="4" t="n">
        <v>1960</v>
      </c>
      <c r="F181" s="4" t="s">
        <v>68</v>
      </c>
      <c r="G181" s="4" t="s">
        <v>69</v>
      </c>
      <c r="H181" s="4" t="s">
        <v>969</v>
      </c>
      <c r="I181" s="4" t="s">
        <v>747</v>
      </c>
      <c r="J181" s="4" t="s">
        <v>742</v>
      </c>
      <c r="K181" s="4" t="s">
        <v>1169</v>
      </c>
    </row>
    <row r="182" customFormat="false" ht="46.25" hidden="false" customHeight="false" outlineLevel="0" collapsed="false">
      <c r="A182" s="4" t="s">
        <v>1192</v>
      </c>
      <c r="B182" s="4" t="n">
        <v>100072</v>
      </c>
      <c r="C182" s="4" t="n">
        <v>609</v>
      </c>
      <c r="D182" s="4" t="n">
        <v>1897</v>
      </c>
      <c r="E182" s="4" t="n">
        <v>1960</v>
      </c>
      <c r="F182" s="4" t="s">
        <v>451</v>
      </c>
      <c r="G182" s="4" t="s">
        <v>453</v>
      </c>
      <c r="H182" s="4" t="s">
        <v>969</v>
      </c>
      <c r="I182" s="4" t="s">
        <v>718</v>
      </c>
      <c r="J182" s="4" t="s">
        <v>1193</v>
      </c>
      <c r="K182" s="4" t="s">
        <v>1194</v>
      </c>
    </row>
    <row r="183" customFormat="false" ht="46.25" hidden="false" customHeight="false" outlineLevel="0" collapsed="false">
      <c r="A183" s="4" t="s">
        <v>1195</v>
      </c>
      <c r="B183" s="4" t="n">
        <v>100114</v>
      </c>
      <c r="C183" s="4" t="n">
        <v>603</v>
      </c>
      <c r="D183" s="4" t="n">
        <v>1901</v>
      </c>
      <c r="E183" s="4" t="n">
        <v>1958</v>
      </c>
      <c r="F183" s="4" t="s">
        <v>489</v>
      </c>
      <c r="G183" s="4" t="s">
        <v>490</v>
      </c>
      <c r="H183" s="4" t="s">
        <v>969</v>
      </c>
      <c r="I183" s="4" t="s">
        <v>747</v>
      </c>
      <c r="J183" s="4" t="s">
        <v>1119</v>
      </c>
      <c r="K183" s="4" t="s">
        <v>1120</v>
      </c>
    </row>
    <row r="184" customFormat="false" ht="46.25" hidden="false" customHeight="false" outlineLevel="0" collapsed="false">
      <c r="A184" s="4" t="s">
        <v>1196</v>
      </c>
      <c r="B184" s="4" t="n">
        <v>100115</v>
      </c>
      <c r="C184" s="4" t="n">
        <v>602</v>
      </c>
      <c r="D184" s="4" t="n">
        <v>1908</v>
      </c>
      <c r="E184" s="4" t="n">
        <v>1962</v>
      </c>
      <c r="F184" s="4" t="s">
        <v>397</v>
      </c>
      <c r="G184" s="4" t="s">
        <v>398</v>
      </c>
      <c r="H184" s="4" t="s">
        <v>969</v>
      </c>
      <c r="I184" s="4" t="s">
        <v>747</v>
      </c>
      <c r="J184" s="4" t="s">
        <v>962</v>
      </c>
      <c r="K184" s="4" t="s">
        <v>1197</v>
      </c>
    </row>
    <row r="185" customFormat="false" ht="46.25" hidden="false" customHeight="false" outlineLevel="0" collapsed="false">
      <c r="A185" s="4" t="s">
        <v>1198</v>
      </c>
      <c r="B185" s="4" t="n">
        <v>100117</v>
      </c>
      <c r="C185" s="4" t="n">
        <v>578</v>
      </c>
      <c r="D185" s="4" t="n">
        <v>1908</v>
      </c>
      <c r="E185" s="4" t="n">
        <v>1962</v>
      </c>
      <c r="F185" s="4" t="s">
        <v>397</v>
      </c>
      <c r="G185" s="4" t="s">
        <v>398</v>
      </c>
      <c r="H185" s="4" t="s">
        <v>969</v>
      </c>
      <c r="I185" s="4" t="s">
        <v>747</v>
      </c>
      <c r="J185" s="4" t="s">
        <v>962</v>
      </c>
      <c r="K185" s="4" t="s">
        <v>1197</v>
      </c>
    </row>
    <row r="186" customFormat="false" ht="57.45" hidden="false" customHeight="false" outlineLevel="0" collapsed="false">
      <c r="A186" s="4" t="s">
        <v>1199</v>
      </c>
      <c r="B186" s="4" t="n">
        <v>100118</v>
      </c>
      <c r="C186" s="4" t="n">
        <v>575</v>
      </c>
      <c r="D186" s="4" t="n">
        <v>1891</v>
      </c>
      <c r="E186" s="4" t="n">
        <v>1958</v>
      </c>
      <c r="F186" s="4" t="s">
        <v>332</v>
      </c>
      <c r="G186" s="4" t="s">
        <v>333</v>
      </c>
      <c r="H186" s="4" t="s">
        <v>969</v>
      </c>
      <c r="I186" s="4" t="s">
        <v>718</v>
      </c>
      <c r="J186" s="4" t="s">
        <v>1200</v>
      </c>
      <c r="K186" s="4" t="s">
        <v>1201</v>
      </c>
    </row>
    <row r="187" customFormat="false" ht="46.25" hidden="false" customHeight="false" outlineLevel="0" collapsed="false">
      <c r="A187" s="4" t="s">
        <v>1202</v>
      </c>
      <c r="B187" s="4" t="n">
        <v>100119</v>
      </c>
      <c r="C187" s="4" t="n">
        <v>570</v>
      </c>
      <c r="D187" s="4" t="n">
        <v>1865</v>
      </c>
      <c r="E187" s="4" t="n">
        <v>1961</v>
      </c>
      <c r="F187" s="4" t="s">
        <v>102</v>
      </c>
      <c r="G187" s="4" t="s">
        <v>103</v>
      </c>
      <c r="H187" s="4" t="s">
        <v>969</v>
      </c>
      <c r="I187" s="4" t="s">
        <v>718</v>
      </c>
      <c r="J187" s="4" t="s">
        <v>1159</v>
      </c>
      <c r="K187" s="4" t="s">
        <v>1160</v>
      </c>
    </row>
    <row r="188" customFormat="false" ht="46.25" hidden="false" customHeight="false" outlineLevel="0" collapsed="false">
      <c r="A188" s="4" t="s">
        <v>1203</v>
      </c>
      <c r="B188" s="4" t="n">
        <v>100120</v>
      </c>
      <c r="C188" s="4" t="n">
        <v>569</v>
      </c>
      <c r="D188" s="4" t="n">
        <v>1883</v>
      </c>
      <c r="E188" s="4" t="n">
        <v>1961</v>
      </c>
      <c r="F188" s="4" t="s">
        <v>162</v>
      </c>
      <c r="G188" s="4" t="s">
        <v>163</v>
      </c>
      <c r="H188" s="4" t="s">
        <v>969</v>
      </c>
      <c r="I188" s="4" t="s">
        <v>718</v>
      </c>
      <c r="J188" s="4" t="s">
        <v>1204</v>
      </c>
      <c r="K188" s="4" t="s">
        <v>1205</v>
      </c>
    </row>
    <row r="189" customFormat="false" ht="46.25" hidden="false" customHeight="false" outlineLevel="0" collapsed="false">
      <c r="A189" s="4" t="s">
        <v>1206</v>
      </c>
      <c r="B189" s="4" t="n">
        <v>100121</v>
      </c>
      <c r="C189" s="4" t="n">
        <v>560</v>
      </c>
      <c r="D189" s="4" t="n">
        <v>1890</v>
      </c>
      <c r="E189" s="4" t="n">
        <v>1958</v>
      </c>
      <c r="F189" s="4" t="s">
        <v>322</v>
      </c>
      <c r="G189" s="4" t="s">
        <v>323</v>
      </c>
      <c r="H189" s="4" t="s">
        <v>969</v>
      </c>
      <c r="I189" s="4" t="s">
        <v>718</v>
      </c>
      <c r="J189" s="4" t="s">
        <v>1151</v>
      </c>
      <c r="K189" s="4" t="s">
        <v>1152</v>
      </c>
    </row>
    <row r="190" customFormat="false" ht="46.25" hidden="false" customHeight="false" outlineLevel="0" collapsed="false">
      <c r="A190" s="4" t="s">
        <v>1207</v>
      </c>
      <c r="B190" s="4" t="n">
        <v>100123</v>
      </c>
      <c r="C190" s="4" t="n">
        <v>546</v>
      </c>
      <c r="D190" s="4" t="n">
        <v>1910</v>
      </c>
      <c r="E190" s="4" t="n">
        <v>1936</v>
      </c>
      <c r="F190" s="4" t="s">
        <v>550</v>
      </c>
      <c r="G190" s="4" t="s">
        <v>551</v>
      </c>
      <c r="H190" s="4" t="s">
        <v>969</v>
      </c>
      <c r="I190" s="4" t="s">
        <v>747</v>
      </c>
      <c r="J190" s="4" t="s">
        <v>1044</v>
      </c>
      <c r="K190" s="4" t="s">
        <v>1045</v>
      </c>
    </row>
    <row r="191" customFormat="false" ht="57.45" hidden="false" customHeight="false" outlineLevel="0" collapsed="false">
      <c r="A191" s="4" t="s">
        <v>1208</v>
      </c>
      <c r="B191" s="4" t="n">
        <v>100124</v>
      </c>
      <c r="C191" s="4" t="n">
        <v>544</v>
      </c>
      <c r="D191" s="4" t="n">
        <v>1888</v>
      </c>
      <c r="E191" s="4" t="n">
        <v>1958</v>
      </c>
      <c r="F191" s="4" t="s">
        <v>298</v>
      </c>
      <c r="G191" s="4" t="s">
        <v>299</v>
      </c>
      <c r="H191" s="4" t="s">
        <v>969</v>
      </c>
      <c r="I191" s="4" t="s">
        <v>718</v>
      </c>
      <c r="J191" s="4" t="s">
        <v>857</v>
      </c>
      <c r="K191" s="4" t="s">
        <v>1209</v>
      </c>
    </row>
    <row r="192" customFormat="false" ht="57.45" hidden="false" customHeight="false" outlineLevel="0" collapsed="false">
      <c r="A192" s="4" t="s">
        <v>1210</v>
      </c>
      <c r="B192" s="4" t="n">
        <v>100139</v>
      </c>
      <c r="C192" s="4" t="n">
        <v>543</v>
      </c>
      <c r="D192" s="4" t="n">
        <v>1875</v>
      </c>
      <c r="E192" s="4" t="n">
        <v>1933</v>
      </c>
      <c r="F192" s="4" t="s">
        <v>266</v>
      </c>
      <c r="G192" s="4" t="s">
        <v>288</v>
      </c>
      <c r="H192" s="4" t="s">
        <v>969</v>
      </c>
      <c r="I192" s="4" t="s">
        <v>718</v>
      </c>
      <c r="J192" s="4" t="s">
        <v>773</v>
      </c>
      <c r="K192" s="4" t="s">
        <v>1074</v>
      </c>
    </row>
    <row r="193" customFormat="false" ht="46.25" hidden="false" customHeight="false" outlineLevel="0" collapsed="false">
      <c r="A193" s="4" t="s">
        <v>1211</v>
      </c>
      <c r="B193" s="4" t="n">
        <v>100102</v>
      </c>
      <c r="C193" s="4" t="n">
        <v>534</v>
      </c>
      <c r="D193" s="4" t="n">
        <v>1923</v>
      </c>
      <c r="E193" s="4" t="n">
        <v>1956</v>
      </c>
      <c r="F193" s="4" t="s">
        <v>603</v>
      </c>
      <c r="G193" s="4" t="s">
        <v>604</v>
      </c>
      <c r="H193" s="4" t="s">
        <v>969</v>
      </c>
      <c r="I193" s="4" t="s">
        <v>747</v>
      </c>
      <c r="J193" s="4" t="s">
        <v>1212</v>
      </c>
      <c r="K193" s="4" t="s">
        <v>1213</v>
      </c>
    </row>
    <row r="194" customFormat="false" ht="57.45" hidden="false" customHeight="false" outlineLevel="0" collapsed="false">
      <c r="A194" s="4" t="s">
        <v>1214</v>
      </c>
      <c r="B194" s="4" t="n">
        <v>100128</v>
      </c>
      <c r="C194" s="4" t="n">
        <v>533</v>
      </c>
      <c r="D194" s="4" t="n">
        <v>1888</v>
      </c>
      <c r="E194" s="4" t="n">
        <v>1900</v>
      </c>
      <c r="F194" s="4" t="s">
        <v>244</v>
      </c>
      <c r="G194" s="4" t="s">
        <v>245</v>
      </c>
      <c r="H194" s="4" t="s">
        <v>969</v>
      </c>
      <c r="I194" s="4" t="s">
        <v>718</v>
      </c>
      <c r="J194" s="4" t="s">
        <v>1215</v>
      </c>
      <c r="K194" s="4" t="s">
        <v>1216</v>
      </c>
    </row>
    <row r="195" customFormat="false" ht="46.25" hidden="false" customHeight="false" outlineLevel="0" collapsed="false">
      <c r="A195" s="4" t="s">
        <v>1217</v>
      </c>
      <c r="B195" s="4" t="n">
        <v>100130</v>
      </c>
      <c r="C195" s="4" t="n">
        <v>530</v>
      </c>
      <c r="D195" s="4" t="n">
        <v>1890</v>
      </c>
      <c r="E195" s="4" t="n">
        <v>1960</v>
      </c>
      <c r="F195" s="4" t="s">
        <v>183</v>
      </c>
      <c r="G195" s="4" t="s">
        <v>184</v>
      </c>
      <c r="H195" s="4" t="s">
        <v>969</v>
      </c>
      <c r="I195" s="4" t="s">
        <v>718</v>
      </c>
      <c r="J195" s="4" t="s">
        <v>893</v>
      </c>
      <c r="K195" s="4" t="s">
        <v>1072</v>
      </c>
    </row>
    <row r="196" customFormat="false" ht="46.25" hidden="false" customHeight="false" outlineLevel="0" collapsed="false">
      <c r="A196" s="4" t="s">
        <v>1218</v>
      </c>
      <c r="B196" s="4" t="n">
        <v>100132</v>
      </c>
      <c r="C196" s="4" t="n">
        <v>530</v>
      </c>
      <c r="D196" s="4" t="n">
        <v>1872</v>
      </c>
      <c r="E196" s="4" t="n">
        <v>1933</v>
      </c>
      <c r="F196" s="4" t="s">
        <v>115</v>
      </c>
      <c r="G196" s="4" t="s">
        <v>116</v>
      </c>
      <c r="H196" s="4" t="s">
        <v>969</v>
      </c>
      <c r="I196" s="4" t="s">
        <v>718</v>
      </c>
      <c r="J196" s="4" t="s">
        <v>1145</v>
      </c>
      <c r="K196" s="4" t="s">
        <v>1146</v>
      </c>
    </row>
    <row r="197" customFormat="false" ht="57.45" hidden="false" customHeight="false" outlineLevel="0" collapsed="false">
      <c r="A197" s="4" t="s">
        <v>1219</v>
      </c>
      <c r="B197" s="4" t="n">
        <v>100131</v>
      </c>
      <c r="C197" s="4" t="n">
        <v>526</v>
      </c>
      <c r="D197" s="4" t="n">
        <v>1900</v>
      </c>
      <c r="E197" s="4" t="n">
        <v>1935</v>
      </c>
      <c r="F197" s="4" t="s">
        <v>244</v>
      </c>
      <c r="G197" s="4" t="s">
        <v>245</v>
      </c>
      <c r="H197" s="4" t="s">
        <v>969</v>
      </c>
      <c r="I197" s="4" t="s">
        <v>718</v>
      </c>
      <c r="J197" s="4" t="s">
        <v>1220</v>
      </c>
      <c r="K197" s="4" t="s">
        <v>1221</v>
      </c>
    </row>
    <row r="198" customFormat="false" ht="46.25" hidden="false" customHeight="false" outlineLevel="0" collapsed="false">
      <c r="A198" s="4" t="s">
        <v>1222</v>
      </c>
      <c r="B198" s="4" t="n">
        <v>100142</v>
      </c>
      <c r="C198" s="4" t="n">
        <v>524</v>
      </c>
      <c r="D198" s="4" t="n">
        <v>1936</v>
      </c>
      <c r="E198" s="4" t="n">
        <v>1960</v>
      </c>
      <c r="F198" s="4" t="s">
        <v>51</v>
      </c>
      <c r="G198" s="4" t="s">
        <v>52</v>
      </c>
      <c r="H198" s="4" t="s">
        <v>969</v>
      </c>
      <c r="I198" s="4" t="s">
        <v>747</v>
      </c>
      <c r="J198" s="4" t="s">
        <v>1223</v>
      </c>
      <c r="K198" s="4" t="s">
        <v>1224</v>
      </c>
    </row>
    <row r="199" customFormat="false" ht="46.25" hidden="false" customHeight="false" outlineLevel="0" collapsed="false">
      <c r="A199" s="4" t="s">
        <v>1225</v>
      </c>
      <c r="B199" s="4" t="n">
        <v>100133</v>
      </c>
      <c r="C199" s="4" t="n">
        <v>508</v>
      </c>
      <c r="D199" s="4" t="n">
        <v>1872</v>
      </c>
      <c r="E199" s="4" t="n">
        <v>1935</v>
      </c>
      <c r="F199" s="4" t="s">
        <v>141</v>
      </c>
      <c r="G199" s="4" t="s">
        <v>142</v>
      </c>
      <c r="H199" s="4" t="s">
        <v>969</v>
      </c>
      <c r="I199" s="4" t="s">
        <v>718</v>
      </c>
      <c r="J199" s="4" t="s">
        <v>723</v>
      </c>
      <c r="K199" s="4" t="s">
        <v>1226</v>
      </c>
    </row>
    <row r="200" customFormat="false" ht="46.25" hidden="false" customHeight="false" outlineLevel="0" collapsed="false">
      <c r="A200" s="4" t="s">
        <v>1227</v>
      </c>
      <c r="B200" s="4" t="n">
        <v>100134</v>
      </c>
      <c r="C200" s="4" t="n">
        <v>506</v>
      </c>
      <c r="D200" s="4" t="n">
        <v>1862</v>
      </c>
      <c r="E200" s="4" t="n">
        <v>1962</v>
      </c>
      <c r="F200" s="4" t="s">
        <v>51</v>
      </c>
      <c r="G200" s="4" t="s">
        <v>52</v>
      </c>
      <c r="H200" s="4" t="s">
        <v>969</v>
      </c>
      <c r="I200" s="4" t="s">
        <v>747</v>
      </c>
      <c r="J200" s="4" t="s">
        <v>748</v>
      </c>
      <c r="K200" s="4" t="s">
        <v>1088</v>
      </c>
    </row>
    <row r="201" customFormat="false" ht="57.45" hidden="false" customHeight="false" outlineLevel="0" collapsed="false">
      <c r="A201" s="4" t="s">
        <v>1228</v>
      </c>
      <c r="B201" s="4" t="n">
        <v>100135</v>
      </c>
      <c r="C201" s="4" t="n">
        <v>506</v>
      </c>
      <c r="D201" s="4" t="n">
        <v>1892</v>
      </c>
      <c r="E201" s="4" t="n">
        <v>1932</v>
      </c>
      <c r="F201" s="4" t="s">
        <v>652</v>
      </c>
      <c r="G201" s="4" t="s">
        <v>653</v>
      </c>
      <c r="H201" s="4" t="s">
        <v>969</v>
      </c>
      <c r="I201" s="4" t="s">
        <v>956</v>
      </c>
      <c r="J201" s="4" t="s">
        <v>1050</v>
      </c>
      <c r="K201" s="4" t="s">
        <v>1051</v>
      </c>
    </row>
    <row r="202" customFormat="false" ht="46.25" hidden="false" customHeight="false" outlineLevel="0" collapsed="false">
      <c r="A202" s="4" t="s">
        <v>1229</v>
      </c>
      <c r="B202" s="4" t="n">
        <v>100136</v>
      </c>
      <c r="C202" s="4" t="n">
        <v>503</v>
      </c>
      <c r="D202" s="4" t="n">
        <v>1865</v>
      </c>
      <c r="E202" s="4" t="n">
        <v>1961</v>
      </c>
      <c r="F202" s="4" t="s">
        <v>102</v>
      </c>
      <c r="G202" s="4" t="s">
        <v>103</v>
      </c>
      <c r="H202" s="4" t="s">
        <v>969</v>
      </c>
      <c r="I202" s="4" t="s">
        <v>718</v>
      </c>
      <c r="J202" s="4" t="s">
        <v>1159</v>
      </c>
      <c r="K202" s="4" t="s">
        <v>1160</v>
      </c>
    </row>
    <row r="203" customFormat="false" ht="46.25" hidden="false" customHeight="false" outlineLevel="0" collapsed="false">
      <c r="A203" s="4" t="s">
        <v>1230</v>
      </c>
      <c r="B203" s="4" t="n">
        <v>100137</v>
      </c>
      <c r="C203" s="4" t="n">
        <v>502</v>
      </c>
      <c r="D203" s="4" t="n">
        <v>1889</v>
      </c>
      <c r="E203" s="4" t="n">
        <v>1894</v>
      </c>
      <c r="F203" s="4" t="s">
        <v>306</v>
      </c>
      <c r="G203" s="4" t="s">
        <v>316</v>
      </c>
      <c r="H203" s="4" t="s">
        <v>969</v>
      </c>
      <c r="I203" s="4" t="s">
        <v>718</v>
      </c>
      <c r="J203" s="4" t="s">
        <v>1231</v>
      </c>
      <c r="K203" s="4" t="s">
        <v>1232</v>
      </c>
    </row>
    <row r="204" customFormat="false" ht="57.45" hidden="false" customHeight="false" outlineLevel="0" collapsed="false">
      <c r="A204" s="4" t="s">
        <v>1233</v>
      </c>
      <c r="B204" s="4" t="n">
        <v>100140</v>
      </c>
      <c r="C204" s="4" t="n">
        <v>500</v>
      </c>
      <c r="D204" s="4" t="n">
        <v>1875</v>
      </c>
      <c r="E204" s="4" t="n">
        <v>1933</v>
      </c>
      <c r="F204" s="4" t="s">
        <v>266</v>
      </c>
      <c r="G204" s="4" t="s">
        <v>288</v>
      </c>
      <c r="H204" s="4" t="s">
        <v>969</v>
      </c>
      <c r="I204" s="4" t="s">
        <v>718</v>
      </c>
      <c r="J204" s="4" t="s">
        <v>773</v>
      </c>
      <c r="K204" s="4" t="s">
        <v>1074</v>
      </c>
    </row>
    <row r="205" customFormat="false" ht="46.25" hidden="false" customHeight="false" outlineLevel="0" collapsed="false">
      <c r="A205" s="4" t="s">
        <v>1234</v>
      </c>
      <c r="B205" s="4" t="n">
        <v>100141</v>
      </c>
      <c r="C205" s="4" t="n">
        <v>500</v>
      </c>
      <c r="D205" s="4" t="n">
        <v>1862</v>
      </c>
      <c r="E205" s="4" t="n">
        <v>1960</v>
      </c>
      <c r="F205" s="4" t="s">
        <v>68</v>
      </c>
      <c r="G205" s="4" t="s">
        <v>69</v>
      </c>
      <c r="H205" s="4" t="s">
        <v>969</v>
      </c>
      <c r="I205" s="4" t="s">
        <v>747</v>
      </c>
      <c r="J205" s="4" t="s">
        <v>742</v>
      </c>
      <c r="K205" s="4" t="s">
        <v>1169</v>
      </c>
    </row>
    <row r="206" customFormat="false" ht="46.25" hidden="false" customHeight="false" outlineLevel="0" collapsed="false">
      <c r="A206" s="4" t="s">
        <v>1235</v>
      </c>
      <c r="B206" s="4" t="n">
        <v>100153</v>
      </c>
      <c r="C206" s="4" t="n">
        <v>498</v>
      </c>
      <c r="D206" s="4" t="n">
        <v>1890</v>
      </c>
      <c r="E206" s="4" t="n">
        <v>1899</v>
      </c>
      <c r="F206" s="4" t="s">
        <v>365</v>
      </c>
      <c r="G206" s="4" t="s">
        <v>366</v>
      </c>
      <c r="H206" s="4" t="s">
        <v>969</v>
      </c>
      <c r="I206" s="4" t="s">
        <v>747</v>
      </c>
      <c r="J206" s="4" t="s">
        <v>1236</v>
      </c>
      <c r="K206" s="4" t="s">
        <v>1237</v>
      </c>
    </row>
    <row r="207" customFormat="false" ht="46.25" hidden="false" customHeight="false" outlineLevel="0" collapsed="false">
      <c r="A207" s="4" t="s">
        <v>1238</v>
      </c>
      <c r="B207" s="4" t="n">
        <v>100169</v>
      </c>
      <c r="C207" s="4" t="n">
        <v>496</v>
      </c>
      <c r="D207" s="4" t="n">
        <v>1896</v>
      </c>
      <c r="E207" s="4" t="n">
        <v>1902</v>
      </c>
      <c r="F207" s="4" t="s">
        <v>443</v>
      </c>
      <c r="G207" s="4" t="s">
        <v>444</v>
      </c>
      <c r="H207" s="4" t="s">
        <v>969</v>
      </c>
      <c r="I207" s="4" t="s">
        <v>994</v>
      </c>
      <c r="J207" s="4" t="s">
        <v>1076</v>
      </c>
      <c r="K207" s="4" t="s">
        <v>1077</v>
      </c>
    </row>
    <row r="208" customFormat="false" ht="57.45" hidden="false" customHeight="false" outlineLevel="0" collapsed="false">
      <c r="A208" s="4" t="s">
        <v>1239</v>
      </c>
      <c r="B208" s="4" t="n">
        <v>100144</v>
      </c>
      <c r="C208" s="4" t="n">
        <v>488</v>
      </c>
      <c r="D208" s="4" t="n">
        <v>1876</v>
      </c>
      <c r="E208" s="4" t="n">
        <v>1933</v>
      </c>
      <c r="F208" s="4" t="s">
        <v>266</v>
      </c>
      <c r="G208" s="4" t="s">
        <v>288</v>
      </c>
      <c r="H208" s="4" t="s">
        <v>969</v>
      </c>
      <c r="I208" s="4" t="s">
        <v>718</v>
      </c>
      <c r="J208" s="4" t="s">
        <v>1240</v>
      </c>
      <c r="K208" s="4" t="s">
        <v>1241</v>
      </c>
    </row>
    <row r="209" customFormat="false" ht="46.25" hidden="false" customHeight="false" outlineLevel="0" collapsed="false">
      <c r="A209" s="4" t="s">
        <v>1242</v>
      </c>
      <c r="B209" s="4" t="n">
        <v>100145</v>
      </c>
      <c r="C209" s="4" t="n">
        <v>474</v>
      </c>
      <c r="D209" s="4" t="n">
        <v>1875</v>
      </c>
      <c r="E209" s="4" t="n">
        <v>1935</v>
      </c>
      <c r="F209" s="4" t="s">
        <v>594</v>
      </c>
      <c r="G209" s="4" t="s">
        <v>595</v>
      </c>
      <c r="H209" s="4" t="s">
        <v>969</v>
      </c>
      <c r="I209" s="4" t="s">
        <v>718</v>
      </c>
      <c r="J209" s="4" t="s">
        <v>1243</v>
      </c>
      <c r="K209" s="4" t="s">
        <v>1244</v>
      </c>
    </row>
    <row r="210" customFormat="false" ht="46.25" hidden="false" customHeight="false" outlineLevel="0" collapsed="false">
      <c r="A210" s="4" t="s">
        <v>1245</v>
      </c>
      <c r="B210" s="4" t="n">
        <v>100146</v>
      </c>
      <c r="C210" s="4" t="n">
        <v>470</v>
      </c>
      <c r="D210" s="4" t="n">
        <v>1896</v>
      </c>
      <c r="E210" s="4" t="n">
        <v>1962</v>
      </c>
      <c r="F210" s="4" t="s">
        <v>152</v>
      </c>
      <c r="G210" s="4" t="s">
        <v>153</v>
      </c>
      <c r="H210" s="4" t="s">
        <v>969</v>
      </c>
      <c r="I210" s="4" t="s">
        <v>718</v>
      </c>
      <c r="J210" s="4" t="s">
        <v>939</v>
      </c>
      <c r="K210" s="4" t="s">
        <v>1246</v>
      </c>
    </row>
    <row r="211" customFormat="false" ht="57.45" hidden="false" customHeight="false" outlineLevel="0" collapsed="false">
      <c r="A211" s="4" t="s">
        <v>1247</v>
      </c>
      <c r="B211" s="4" t="n">
        <v>100147</v>
      </c>
      <c r="C211" s="4" t="n">
        <v>455</v>
      </c>
      <c r="D211" s="4" t="n">
        <v>1888</v>
      </c>
      <c r="E211" s="4" t="n">
        <v>1958</v>
      </c>
      <c r="F211" s="4" t="s">
        <v>298</v>
      </c>
      <c r="G211" s="4" t="s">
        <v>299</v>
      </c>
      <c r="H211" s="4" t="s">
        <v>969</v>
      </c>
      <c r="I211" s="4" t="s">
        <v>718</v>
      </c>
      <c r="J211" s="4" t="s">
        <v>857</v>
      </c>
      <c r="K211" s="4" t="s">
        <v>1209</v>
      </c>
    </row>
    <row r="212" customFormat="false" ht="57.45" hidden="false" customHeight="false" outlineLevel="0" collapsed="false">
      <c r="A212" s="4" t="s">
        <v>1248</v>
      </c>
      <c r="B212" s="4" t="n">
        <v>100148</v>
      </c>
      <c r="C212" s="4" t="n">
        <v>454</v>
      </c>
      <c r="D212" s="4" t="n">
        <v>1888</v>
      </c>
      <c r="E212" s="4" t="n">
        <v>1958</v>
      </c>
      <c r="F212" s="4" t="s">
        <v>298</v>
      </c>
      <c r="G212" s="4" t="s">
        <v>299</v>
      </c>
      <c r="H212" s="4" t="s">
        <v>969</v>
      </c>
      <c r="I212" s="4" t="s">
        <v>718</v>
      </c>
      <c r="J212" s="4" t="s">
        <v>857</v>
      </c>
      <c r="K212" s="4" t="s">
        <v>1209</v>
      </c>
    </row>
    <row r="213" customFormat="false" ht="46.25" hidden="false" customHeight="false" outlineLevel="0" collapsed="false">
      <c r="A213" s="4" t="s">
        <v>1249</v>
      </c>
      <c r="B213" s="4" t="n">
        <v>100149</v>
      </c>
      <c r="C213" s="4" t="n">
        <v>451</v>
      </c>
      <c r="D213" s="4" t="n">
        <v>1893</v>
      </c>
      <c r="E213" s="4" t="n">
        <v>1895</v>
      </c>
      <c r="F213" s="4" t="s">
        <v>470</v>
      </c>
      <c r="G213" s="4" t="s">
        <v>471</v>
      </c>
      <c r="H213" s="4" t="s">
        <v>969</v>
      </c>
      <c r="I213" s="4" t="s">
        <v>718</v>
      </c>
      <c r="J213" s="4" t="s">
        <v>1250</v>
      </c>
      <c r="K213" s="4" t="s">
        <v>1251</v>
      </c>
    </row>
    <row r="214" customFormat="false" ht="46.25" hidden="false" customHeight="false" outlineLevel="0" collapsed="false">
      <c r="A214" s="4" t="s">
        <v>1252</v>
      </c>
      <c r="B214" s="4" t="n">
        <v>100151</v>
      </c>
      <c r="C214" s="4" t="n">
        <v>451</v>
      </c>
      <c r="D214" s="4" t="n">
        <v>1888</v>
      </c>
      <c r="E214" s="4" t="n">
        <v>1925</v>
      </c>
      <c r="F214" s="4" t="s">
        <v>308</v>
      </c>
      <c r="G214" s="4" t="s">
        <v>309</v>
      </c>
      <c r="H214" s="4" t="s">
        <v>969</v>
      </c>
      <c r="I214" s="4" t="s">
        <v>718</v>
      </c>
      <c r="J214" s="4" t="s">
        <v>1093</v>
      </c>
      <c r="K214" s="4" t="s">
        <v>1094</v>
      </c>
    </row>
    <row r="215" customFormat="false" ht="46.25" hidden="false" customHeight="false" outlineLevel="0" collapsed="false">
      <c r="A215" s="4" t="s">
        <v>1253</v>
      </c>
      <c r="B215" s="4" t="n">
        <v>100152</v>
      </c>
      <c r="C215" s="4" t="n">
        <v>444</v>
      </c>
      <c r="D215" s="4" t="n">
        <v>1896</v>
      </c>
      <c r="E215" s="4" t="n">
        <v>1962</v>
      </c>
      <c r="F215" s="4" t="s">
        <v>152</v>
      </c>
      <c r="G215" s="4" t="s">
        <v>153</v>
      </c>
      <c r="H215" s="4" t="s">
        <v>969</v>
      </c>
      <c r="I215" s="4" t="s">
        <v>718</v>
      </c>
      <c r="J215" s="4" t="s">
        <v>939</v>
      </c>
      <c r="K215" s="4" t="s">
        <v>1246</v>
      </c>
    </row>
    <row r="216" customFormat="false" ht="46.25" hidden="false" customHeight="false" outlineLevel="0" collapsed="false">
      <c r="A216" s="4" t="s">
        <v>1254</v>
      </c>
      <c r="B216" s="4" t="n">
        <v>100154</v>
      </c>
      <c r="C216" s="4" t="n">
        <v>430</v>
      </c>
      <c r="D216" s="4" t="n">
        <v>1862</v>
      </c>
      <c r="E216" s="4" t="n">
        <v>1960</v>
      </c>
      <c r="F216" s="4" t="s">
        <v>68</v>
      </c>
      <c r="G216" s="4" t="s">
        <v>69</v>
      </c>
      <c r="H216" s="4" t="s">
        <v>969</v>
      </c>
      <c r="I216" s="4" t="s">
        <v>747</v>
      </c>
      <c r="J216" s="4" t="s">
        <v>742</v>
      </c>
      <c r="K216" s="4" t="s">
        <v>1169</v>
      </c>
    </row>
    <row r="217" customFormat="false" ht="57.45" hidden="false" customHeight="false" outlineLevel="0" collapsed="false">
      <c r="A217" s="4" t="s">
        <v>1255</v>
      </c>
      <c r="B217" s="4" t="n">
        <v>100155</v>
      </c>
      <c r="C217" s="4" t="n">
        <v>429</v>
      </c>
      <c r="D217" s="4" t="n">
        <v>1943</v>
      </c>
      <c r="E217" s="4" t="n">
        <v>1960</v>
      </c>
      <c r="F217" s="4" t="s">
        <v>499</v>
      </c>
      <c r="G217" s="4" t="s">
        <v>500</v>
      </c>
      <c r="H217" s="4" t="s">
        <v>969</v>
      </c>
      <c r="I217" s="4" t="s">
        <v>718</v>
      </c>
      <c r="J217" s="4" t="s">
        <v>1256</v>
      </c>
      <c r="K217" s="4" t="s">
        <v>1257</v>
      </c>
    </row>
    <row r="218" customFormat="false" ht="46.25" hidden="false" customHeight="false" outlineLevel="0" collapsed="false">
      <c r="A218" s="4" t="s">
        <v>1258</v>
      </c>
      <c r="B218" s="4" t="n">
        <v>100156</v>
      </c>
      <c r="C218" s="4" t="n">
        <v>427</v>
      </c>
      <c r="D218" s="4" t="n">
        <v>1897</v>
      </c>
      <c r="E218" s="4" t="n">
        <v>1960</v>
      </c>
      <c r="F218" s="4" t="s">
        <v>451</v>
      </c>
      <c r="G218" s="4" t="s">
        <v>453</v>
      </c>
      <c r="H218" s="4" t="s">
        <v>969</v>
      </c>
      <c r="I218" s="4" t="s">
        <v>718</v>
      </c>
      <c r="J218" s="4" t="s">
        <v>1193</v>
      </c>
      <c r="K218" s="4" t="s">
        <v>1194</v>
      </c>
    </row>
    <row r="219" customFormat="false" ht="46.25" hidden="false" customHeight="false" outlineLevel="0" collapsed="false">
      <c r="A219" s="4" t="s">
        <v>1259</v>
      </c>
      <c r="B219" s="4" t="n">
        <v>100157</v>
      </c>
      <c r="C219" s="4" t="n">
        <v>426</v>
      </c>
      <c r="D219" s="4" t="n">
        <v>1896</v>
      </c>
      <c r="E219" s="4" t="n">
        <v>1935</v>
      </c>
      <c r="F219" s="4" t="s">
        <v>268</v>
      </c>
      <c r="G219" s="4" t="s">
        <v>269</v>
      </c>
      <c r="H219" s="4" t="s">
        <v>969</v>
      </c>
      <c r="I219" s="4" t="s">
        <v>718</v>
      </c>
      <c r="J219" s="4" t="s">
        <v>780</v>
      </c>
      <c r="K219" s="4" t="s">
        <v>1186</v>
      </c>
    </row>
    <row r="220" customFormat="false" ht="46.25" hidden="false" customHeight="false" outlineLevel="0" collapsed="false">
      <c r="A220" s="4" t="s">
        <v>1260</v>
      </c>
      <c r="B220" s="4" t="n">
        <v>100158</v>
      </c>
      <c r="C220" s="4" t="n">
        <v>426</v>
      </c>
      <c r="D220" s="4" t="n">
        <v>1893</v>
      </c>
      <c r="E220" s="4" t="n">
        <v>1962</v>
      </c>
      <c r="F220" s="4" t="s">
        <v>376</v>
      </c>
      <c r="G220" s="4" t="s">
        <v>377</v>
      </c>
      <c r="H220" s="4" t="s">
        <v>969</v>
      </c>
      <c r="I220" s="4" t="s">
        <v>747</v>
      </c>
      <c r="J220" s="4" t="s">
        <v>1139</v>
      </c>
      <c r="K220" s="4" t="s">
        <v>1140</v>
      </c>
    </row>
    <row r="221" customFormat="false" ht="46.25" hidden="false" customHeight="false" outlineLevel="0" collapsed="false">
      <c r="A221" s="4" t="s">
        <v>1261</v>
      </c>
      <c r="B221" s="4" t="n">
        <v>100161</v>
      </c>
      <c r="C221" s="4" t="n">
        <v>426</v>
      </c>
      <c r="D221" s="4" t="n">
        <v>1862</v>
      </c>
      <c r="E221" s="4" t="n">
        <v>1962</v>
      </c>
      <c r="F221" s="4" t="s">
        <v>51</v>
      </c>
      <c r="G221" s="4" t="s">
        <v>52</v>
      </c>
      <c r="H221" s="4" t="s">
        <v>969</v>
      </c>
      <c r="I221" s="4" t="s">
        <v>747</v>
      </c>
      <c r="J221" s="4" t="s">
        <v>748</v>
      </c>
      <c r="K221" s="4" t="s">
        <v>1088</v>
      </c>
    </row>
    <row r="222" customFormat="false" ht="57.45" hidden="false" customHeight="false" outlineLevel="0" collapsed="false">
      <c r="A222" s="4" t="s">
        <v>1262</v>
      </c>
      <c r="B222" s="4" t="n">
        <v>100150</v>
      </c>
      <c r="C222" s="4" t="n">
        <v>425</v>
      </c>
      <c r="D222" s="4" t="n">
        <v>1888</v>
      </c>
      <c r="E222" s="4" t="n">
        <v>1900</v>
      </c>
      <c r="F222" s="4" t="s">
        <v>244</v>
      </c>
      <c r="G222" s="4" t="s">
        <v>245</v>
      </c>
      <c r="H222" s="4" t="s">
        <v>969</v>
      </c>
      <c r="I222" s="4" t="s">
        <v>718</v>
      </c>
      <c r="J222" s="4" t="s">
        <v>1215</v>
      </c>
      <c r="K222" s="4" t="s">
        <v>1216</v>
      </c>
    </row>
    <row r="223" customFormat="false" ht="57.45" hidden="false" customHeight="false" outlineLevel="0" collapsed="false">
      <c r="A223" s="4" t="s">
        <v>1263</v>
      </c>
      <c r="B223" s="4" t="n">
        <v>100159</v>
      </c>
      <c r="C223" s="4" t="n">
        <v>422</v>
      </c>
      <c r="D223" s="4" t="n">
        <v>1875</v>
      </c>
      <c r="E223" s="4" t="n">
        <v>1933</v>
      </c>
      <c r="F223" s="4" t="s">
        <v>266</v>
      </c>
      <c r="G223" s="4" t="s">
        <v>288</v>
      </c>
      <c r="H223" s="4" t="s">
        <v>969</v>
      </c>
      <c r="I223" s="4" t="s">
        <v>718</v>
      </c>
      <c r="J223" s="4" t="s">
        <v>773</v>
      </c>
      <c r="K223" s="4" t="s">
        <v>1074</v>
      </c>
    </row>
    <row r="224" customFormat="false" ht="46.25" hidden="false" customHeight="false" outlineLevel="0" collapsed="false">
      <c r="A224" s="4" t="s">
        <v>1264</v>
      </c>
      <c r="B224" s="4" t="n">
        <v>100163</v>
      </c>
      <c r="C224" s="4" t="n">
        <v>417</v>
      </c>
      <c r="D224" s="4" t="n">
        <v>1908</v>
      </c>
      <c r="E224" s="4" t="n">
        <v>1962</v>
      </c>
      <c r="F224" s="4" t="s">
        <v>387</v>
      </c>
      <c r="G224" s="4" t="s">
        <v>388</v>
      </c>
      <c r="H224" s="4" t="s">
        <v>969</v>
      </c>
      <c r="I224" s="4" t="s">
        <v>747</v>
      </c>
      <c r="J224" s="4" t="s">
        <v>962</v>
      </c>
      <c r="K224" s="4" t="s">
        <v>1079</v>
      </c>
    </row>
    <row r="225" customFormat="false" ht="46.25" hidden="false" customHeight="false" outlineLevel="0" collapsed="false">
      <c r="A225" s="4" t="s">
        <v>1265</v>
      </c>
      <c r="B225" s="4" t="n">
        <v>100179</v>
      </c>
      <c r="C225" s="4" t="n">
        <v>409</v>
      </c>
      <c r="D225" s="4" t="n">
        <v>1923</v>
      </c>
      <c r="E225" s="4" t="n">
        <v>1956</v>
      </c>
      <c r="F225" s="4" t="s">
        <v>603</v>
      </c>
      <c r="G225" s="4" t="s">
        <v>604</v>
      </c>
      <c r="H225" s="4" t="s">
        <v>969</v>
      </c>
      <c r="I225" s="4" t="s">
        <v>747</v>
      </c>
      <c r="J225" s="4" t="s">
        <v>1212</v>
      </c>
      <c r="K225" s="4" t="s">
        <v>1213</v>
      </c>
    </row>
    <row r="226" customFormat="false" ht="46.25" hidden="false" customHeight="false" outlineLevel="0" collapsed="false">
      <c r="A226" s="4" t="s">
        <v>1266</v>
      </c>
      <c r="B226" s="4" t="n">
        <v>100164</v>
      </c>
      <c r="C226" s="4" t="n">
        <v>406</v>
      </c>
      <c r="D226" s="4" t="n">
        <v>1875</v>
      </c>
      <c r="E226" s="4" t="n">
        <v>1961</v>
      </c>
      <c r="F226" s="4" t="s">
        <v>257</v>
      </c>
      <c r="G226" s="4" t="s">
        <v>258</v>
      </c>
      <c r="H226" s="4" t="s">
        <v>969</v>
      </c>
      <c r="I226" s="4" t="s">
        <v>718</v>
      </c>
      <c r="J226" s="4" t="s">
        <v>734</v>
      </c>
      <c r="K226" s="4" t="s">
        <v>1143</v>
      </c>
    </row>
    <row r="227" customFormat="false" ht="46.25" hidden="false" customHeight="false" outlineLevel="0" collapsed="false">
      <c r="A227" s="4" t="s">
        <v>1267</v>
      </c>
      <c r="B227" s="4" t="n">
        <v>100165</v>
      </c>
      <c r="C227" s="4" t="n">
        <v>406</v>
      </c>
      <c r="D227" s="4" t="n">
        <v>1912</v>
      </c>
      <c r="E227" s="4" t="n">
        <v>1923</v>
      </c>
      <c r="F227" s="4" t="s">
        <v>278</v>
      </c>
      <c r="G227" s="4" t="s">
        <v>280</v>
      </c>
      <c r="H227" s="4" t="s">
        <v>969</v>
      </c>
      <c r="I227" s="4" t="s">
        <v>718</v>
      </c>
      <c r="J227" s="4" t="s">
        <v>995</v>
      </c>
      <c r="K227" s="4" t="s">
        <v>1268</v>
      </c>
    </row>
    <row r="228" customFormat="false" ht="57.45" hidden="false" customHeight="false" outlineLevel="0" collapsed="false">
      <c r="A228" s="4" t="s">
        <v>1269</v>
      </c>
      <c r="B228" s="4" t="n">
        <v>100166</v>
      </c>
      <c r="C228" s="4" t="n">
        <v>406</v>
      </c>
      <c r="D228" s="4" t="n">
        <v>1875</v>
      </c>
      <c r="E228" s="4" t="n">
        <v>1933</v>
      </c>
      <c r="F228" s="4" t="s">
        <v>266</v>
      </c>
      <c r="G228" s="4" t="s">
        <v>288</v>
      </c>
      <c r="H228" s="4" t="s">
        <v>969</v>
      </c>
      <c r="I228" s="4" t="s">
        <v>718</v>
      </c>
      <c r="J228" s="4" t="s">
        <v>773</v>
      </c>
      <c r="K228" s="4" t="s">
        <v>1074</v>
      </c>
    </row>
    <row r="229" customFormat="false" ht="46.25" hidden="false" customHeight="false" outlineLevel="0" collapsed="false">
      <c r="A229" s="4" t="s">
        <v>1270</v>
      </c>
      <c r="B229" s="4" t="n">
        <v>100176</v>
      </c>
      <c r="C229" s="4" t="n">
        <v>400</v>
      </c>
      <c r="D229" s="4" t="n">
        <v>1941</v>
      </c>
      <c r="E229" s="4" t="n">
        <v>1960</v>
      </c>
      <c r="F229" s="4" t="s">
        <v>68</v>
      </c>
      <c r="G229" s="4" t="s">
        <v>69</v>
      </c>
      <c r="H229" s="4" t="s">
        <v>969</v>
      </c>
      <c r="I229" s="4" t="s">
        <v>747</v>
      </c>
      <c r="J229" s="4" t="s">
        <v>1271</v>
      </c>
      <c r="K229" s="4" t="s">
        <v>1272</v>
      </c>
    </row>
    <row r="230" customFormat="false" ht="57.45" hidden="false" customHeight="false" outlineLevel="0" collapsed="false">
      <c r="A230" s="4" t="s">
        <v>1273</v>
      </c>
      <c r="B230" s="4" t="n">
        <v>100177</v>
      </c>
      <c r="C230" s="4" t="n">
        <v>397</v>
      </c>
      <c r="D230" s="4" t="n">
        <v>1888</v>
      </c>
      <c r="E230" s="4" t="n">
        <v>1958</v>
      </c>
      <c r="F230" s="4" t="s">
        <v>298</v>
      </c>
      <c r="G230" s="4" t="s">
        <v>299</v>
      </c>
      <c r="H230" s="4" t="s">
        <v>969</v>
      </c>
      <c r="I230" s="4" t="s">
        <v>718</v>
      </c>
      <c r="J230" s="4" t="s">
        <v>857</v>
      </c>
      <c r="K230" s="4" t="s">
        <v>1209</v>
      </c>
    </row>
    <row r="231" customFormat="false" ht="46.25" hidden="false" customHeight="false" outlineLevel="0" collapsed="false">
      <c r="A231" s="4" t="s">
        <v>1274</v>
      </c>
      <c r="B231" s="4" t="n">
        <v>100160</v>
      </c>
      <c r="C231" s="4" t="n">
        <v>394</v>
      </c>
      <c r="D231" s="4" t="n">
        <v>1875</v>
      </c>
      <c r="E231" s="4" t="n">
        <v>1916</v>
      </c>
      <c r="F231" s="4" t="s">
        <v>51</v>
      </c>
      <c r="G231" s="4" t="s">
        <v>52</v>
      </c>
      <c r="H231" s="4" t="s">
        <v>969</v>
      </c>
      <c r="I231" s="4" t="s">
        <v>747</v>
      </c>
      <c r="J231" s="4" t="s">
        <v>1275</v>
      </c>
      <c r="K231" s="4" t="s">
        <v>1276</v>
      </c>
    </row>
    <row r="232" customFormat="false" ht="57.45" hidden="false" customHeight="false" outlineLevel="0" collapsed="false">
      <c r="A232" s="4" t="s">
        <v>1277</v>
      </c>
      <c r="B232" s="4" t="n">
        <v>100172</v>
      </c>
      <c r="C232" s="4" t="n">
        <v>387</v>
      </c>
      <c r="D232" s="4" t="n">
        <v>1875</v>
      </c>
      <c r="E232" s="4" t="n">
        <v>1933</v>
      </c>
      <c r="F232" s="4" t="s">
        <v>266</v>
      </c>
      <c r="G232" s="4" t="s">
        <v>288</v>
      </c>
      <c r="H232" s="4" t="s">
        <v>969</v>
      </c>
      <c r="I232" s="4" t="s">
        <v>718</v>
      </c>
      <c r="J232" s="4" t="s">
        <v>773</v>
      </c>
      <c r="K232" s="4" t="s">
        <v>1074</v>
      </c>
    </row>
    <row r="233" customFormat="false" ht="46.25" hidden="false" customHeight="false" outlineLevel="0" collapsed="false">
      <c r="A233" s="4" t="s">
        <v>1278</v>
      </c>
      <c r="B233" s="4" t="n">
        <v>100173</v>
      </c>
      <c r="C233" s="4" t="n">
        <v>384</v>
      </c>
      <c r="D233" s="4" t="n">
        <v>1872</v>
      </c>
      <c r="E233" s="4" t="n">
        <v>1962</v>
      </c>
      <c r="F233" s="4" t="s">
        <v>152</v>
      </c>
      <c r="G233" s="4" t="s">
        <v>153</v>
      </c>
      <c r="H233" s="4" t="s">
        <v>969</v>
      </c>
      <c r="I233" s="4" t="s">
        <v>718</v>
      </c>
      <c r="J233" s="4" t="s">
        <v>802</v>
      </c>
      <c r="K233" s="4" t="s">
        <v>1136</v>
      </c>
    </row>
    <row r="234" customFormat="false" ht="46.25" hidden="false" customHeight="false" outlineLevel="0" collapsed="false">
      <c r="A234" s="4" t="s">
        <v>1279</v>
      </c>
      <c r="B234" s="4" t="n">
        <v>100174</v>
      </c>
      <c r="C234" s="4" t="n">
        <v>384</v>
      </c>
      <c r="D234" s="4" t="n">
        <v>1896</v>
      </c>
      <c r="E234" s="4" t="n">
        <v>1962</v>
      </c>
      <c r="F234" s="4" t="s">
        <v>152</v>
      </c>
      <c r="G234" s="4" t="s">
        <v>153</v>
      </c>
      <c r="H234" s="4" t="s">
        <v>969</v>
      </c>
      <c r="I234" s="4" t="s">
        <v>718</v>
      </c>
      <c r="J234" s="4" t="s">
        <v>939</v>
      </c>
      <c r="K234" s="4" t="s">
        <v>1246</v>
      </c>
    </row>
    <row r="235" customFormat="false" ht="46.25" hidden="false" customHeight="false" outlineLevel="0" collapsed="false">
      <c r="A235" s="4" t="s">
        <v>1280</v>
      </c>
      <c r="B235" s="4" t="n">
        <v>100175</v>
      </c>
      <c r="C235" s="4" t="n">
        <v>383</v>
      </c>
      <c r="D235" s="4" t="n">
        <v>1893</v>
      </c>
      <c r="E235" s="4" t="n">
        <v>1895</v>
      </c>
      <c r="F235" s="4" t="s">
        <v>470</v>
      </c>
      <c r="G235" s="4" t="s">
        <v>471</v>
      </c>
      <c r="H235" s="4" t="s">
        <v>969</v>
      </c>
      <c r="I235" s="4" t="s">
        <v>718</v>
      </c>
      <c r="J235" s="4" t="s">
        <v>1250</v>
      </c>
      <c r="K235" s="4" t="s">
        <v>1251</v>
      </c>
    </row>
    <row r="236" customFormat="false" ht="46.25" hidden="false" customHeight="false" outlineLevel="0" collapsed="false">
      <c r="A236" s="4" t="s">
        <v>1281</v>
      </c>
      <c r="B236" s="4" t="n">
        <v>100096</v>
      </c>
      <c r="C236" s="4" t="n">
        <v>382</v>
      </c>
      <c r="D236" s="4" t="n">
        <v>1908</v>
      </c>
      <c r="E236" s="4" t="n">
        <v>1961</v>
      </c>
      <c r="F236" s="4" t="s">
        <v>478</v>
      </c>
      <c r="G236" s="4" t="s">
        <v>479</v>
      </c>
      <c r="H236" s="4" t="s">
        <v>969</v>
      </c>
      <c r="I236" s="4" t="s">
        <v>718</v>
      </c>
      <c r="J236" s="4" t="s">
        <v>1282</v>
      </c>
      <c r="K236" s="4" t="s">
        <v>1283</v>
      </c>
    </row>
    <row r="237" customFormat="false" ht="57.45" hidden="false" customHeight="false" outlineLevel="0" collapsed="false">
      <c r="A237" s="4" t="s">
        <v>1284</v>
      </c>
      <c r="B237" s="4" t="n">
        <v>100184</v>
      </c>
      <c r="C237" s="4" t="n">
        <v>382</v>
      </c>
      <c r="D237" s="4" t="n">
        <v>1875</v>
      </c>
      <c r="E237" s="4" t="n">
        <v>1935</v>
      </c>
      <c r="F237" s="4" t="s">
        <v>244</v>
      </c>
      <c r="G237" s="4" t="s">
        <v>245</v>
      </c>
      <c r="H237" s="4" t="s">
        <v>969</v>
      </c>
      <c r="I237" s="4" t="s">
        <v>718</v>
      </c>
      <c r="J237" s="4" t="s">
        <v>872</v>
      </c>
      <c r="K237" s="4" t="s">
        <v>1099</v>
      </c>
    </row>
    <row r="238" customFormat="false" ht="46.25" hidden="false" customHeight="false" outlineLevel="0" collapsed="false">
      <c r="A238" s="4" t="s">
        <v>1285</v>
      </c>
      <c r="B238" s="4" t="n">
        <v>100178</v>
      </c>
      <c r="C238" s="4" t="n">
        <v>375</v>
      </c>
      <c r="D238" s="4" t="n">
        <v>1941</v>
      </c>
      <c r="E238" s="4" t="n">
        <v>1960</v>
      </c>
      <c r="F238" s="4" t="s">
        <v>68</v>
      </c>
      <c r="G238" s="4" t="s">
        <v>69</v>
      </c>
      <c r="H238" s="4" t="s">
        <v>969</v>
      </c>
      <c r="I238" s="4" t="s">
        <v>747</v>
      </c>
      <c r="J238" s="4" t="s">
        <v>1271</v>
      </c>
      <c r="K238" s="4" t="s">
        <v>1272</v>
      </c>
    </row>
    <row r="239" customFormat="false" ht="46.25" hidden="false" customHeight="false" outlineLevel="0" collapsed="false">
      <c r="A239" s="4" t="s">
        <v>1286</v>
      </c>
      <c r="B239" s="4" t="n">
        <v>100182</v>
      </c>
      <c r="C239" s="4" t="n">
        <v>370</v>
      </c>
      <c r="D239" s="4" t="n">
        <v>1890</v>
      </c>
      <c r="E239" s="4" t="n">
        <v>1958</v>
      </c>
      <c r="F239" s="4" t="s">
        <v>322</v>
      </c>
      <c r="G239" s="4" t="s">
        <v>323</v>
      </c>
      <c r="H239" s="4" t="s">
        <v>969</v>
      </c>
      <c r="I239" s="4" t="s">
        <v>718</v>
      </c>
      <c r="J239" s="4" t="s">
        <v>1151</v>
      </c>
      <c r="K239" s="4" t="s">
        <v>1152</v>
      </c>
    </row>
    <row r="240" customFormat="false" ht="46.25" hidden="false" customHeight="false" outlineLevel="0" collapsed="false">
      <c r="A240" s="4" t="s">
        <v>1287</v>
      </c>
      <c r="B240" s="4" t="n">
        <v>100095</v>
      </c>
      <c r="C240" s="4" t="n">
        <v>368</v>
      </c>
      <c r="D240" s="4" t="n">
        <v>1908</v>
      </c>
      <c r="E240" s="4" t="n">
        <v>1961</v>
      </c>
      <c r="F240" s="4" t="s">
        <v>478</v>
      </c>
      <c r="G240" s="4" t="s">
        <v>479</v>
      </c>
      <c r="H240" s="4" t="s">
        <v>969</v>
      </c>
      <c r="I240" s="4" t="s">
        <v>718</v>
      </c>
      <c r="J240" s="4" t="s">
        <v>1282</v>
      </c>
      <c r="K240" s="4" t="s">
        <v>1283</v>
      </c>
    </row>
    <row r="241" customFormat="false" ht="46.25" hidden="false" customHeight="false" outlineLevel="0" collapsed="false">
      <c r="A241" s="4" t="s">
        <v>1288</v>
      </c>
      <c r="B241" s="4" t="n">
        <v>100183</v>
      </c>
      <c r="C241" s="4" t="n">
        <v>366</v>
      </c>
      <c r="D241" s="4" t="n">
        <v>1872</v>
      </c>
      <c r="E241" s="4" t="n">
        <v>1933</v>
      </c>
      <c r="F241" s="4" t="s">
        <v>115</v>
      </c>
      <c r="G241" s="4" t="s">
        <v>116</v>
      </c>
      <c r="H241" s="4" t="s">
        <v>969</v>
      </c>
      <c r="I241" s="4" t="s">
        <v>718</v>
      </c>
      <c r="J241" s="4" t="s">
        <v>1145</v>
      </c>
      <c r="K241" s="4" t="s">
        <v>1146</v>
      </c>
    </row>
    <row r="242" customFormat="false" ht="46.25" hidden="false" customHeight="false" outlineLevel="0" collapsed="false">
      <c r="A242" s="4" t="s">
        <v>1289</v>
      </c>
      <c r="B242" s="4" t="n">
        <v>100185</v>
      </c>
      <c r="C242" s="4" t="n">
        <v>365</v>
      </c>
      <c r="D242" s="4" t="n">
        <v>1908</v>
      </c>
      <c r="E242" s="4" t="n">
        <v>1962</v>
      </c>
      <c r="F242" s="4" t="s">
        <v>387</v>
      </c>
      <c r="G242" s="4" t="s">
        <v>388</v>
      </c>
      <c r="H242" s="4" t="s">
        <v>969</v>
      </c>
      <c r="I242" s="4" t="s">
        <v>747</v>
      </c>
      <c r="J242" s="4" t="s">
        <v>962</v>
      </c>
      <c r="K242" s="4" t="s">
        <v>1079</v>
      </c>
    </row>
    <row r="243" customFormat="false" ht="46.25" hidden="false" customHeight="false" outlineLevel="0" collapsed="false">
      <c r="A243" s="4" t="s">
        <v>1290</v>
      </c>
      <c r="B243" s="4" t="n">
        <v>100186</v>
      </c>
      <c r="C243" s="4" t="n">
        <v>364</v>
      </c>
      <c r="D243" s="4" t="n">
        <v>1908</v>
      </c>
      <c r="E243" s="4" t="n">
        <v>1962</v>
      </c>
      <c r="F243" s="4" t="s">
        <v>397</v>
      </c>
      <c r="G243" s="4" t="s">
        <v>398</v>
      </c>
      <c r="H243" s="4" t="s">
        <v>969</v>
      </c>
      <c r="I243" s="4" t="s">
        <v>747</v>
      </c>
      <c r="J243" s="4" t="s">
        <v>962</v>
      </c>
      <c r="K243" s="4" t="s">
        <v>1197</v>
      </c>
    </row>
    <row r="244" customFormat="false" ht="46.25" hidden="false" customHeight="false" outlineLevel="0" collapsed="false">
      <c r="A244" s="4" t="s">
        <v>1291</v>
      </c>
      <c r="B244" s="4" t="n">
        <v>100188</v>
      </c>
      <c r="C244" s="4" t="n">
        <v>356</v>
      </c>
      <c r="D244" s="4" t="n">
        <v>1865</v>
      </c>
      <c r="E244" s="4" t="n">
        <v>1961</v>
      </c>
      <c r="F244" s="4" t="s">
        <v>102</v>
      </c>
      <c r="G244" s="4" t="s">
        <v>103</v>
      </c>
      <c r="H244" s="4" t="s">
        <v>969</v>
      </c>
      <c r="I244" s="4" t="s">
        <v>718</v>
      </c>
      <c r="J244" s="4" t="s">
        <v>1159</v>
      </c>
      <c r="K244" s="4" t="s">
        <v>1160</v>
      </c>
    </row>
    <row r="245" customFormat="false" ht="46.25" hidden="false" customHeight="false" outlineLevel="0" collapsed="false">
      <c r="A245" s="4" t="s">
        <v>1292</v>
      </c>
      <c r="B245" s="4" t="n">
        <v>100189</v>
      </c>
      <c r="C245" s="4" t="n">
        <v>352</v>
      </c>
      <c r="D245" s="4" t="n">
        <v>1865</v>
      </c>
      <c r="E245" s="4" t="n">
        <v>1961</v>
      </c>
      <c r="F245" s="4" t="s">
        <v>102</v>
      </c>
      <c r="G245" s="4" t="s">
        <v>103</v>
      </c>
      <c r="H245" s="4" t="s">
        <v>969</v>
      </c>
      <c r="I245" s="4" t="s">
        <v>718</v>
      </c>
      <c r="J245" s="4" t="s">
        <v>1159</v>
      </c>
      <c r="K245" s="4" t="s">
        <v>1160</v>
      </c>
    </row>
    <row r="246" customFormat="false" ht="46.25" hidden="false" customHeight="false" outlineLevel="0" collapsed="false">
      <c r="A246" s="4" t="s">
        <v>1293</v>
      </c>
      <c r="B246" s="4" t="n">
        <v>100127</v>
      </c>
      <c r="C246" s="4" t="n">
        <v>349</v>
      </c>
      <c r="D246" s="4" t="n">
        <v>1862</v>
      </c>
      <c r="E246" s="4" t="n">
        <v>1962</v>
      </c>
      <c r="F246" s="4" t="s">
        <v>51</v>
      </c>
      <c r="G246" s="4" t="s">
        <v>52</v>
      </c>
      <c r="H246" s="4" t="s">
        <v>969</v>
      </c>
      <c r="I246" s="4" t="s">
        <v>747</v>
      </c>
      <c r="J246" s="4" t="s">
        <v>748</v>
      </c>
      <c r="K246" s="4" t="s">
        <v>1088</v>
      </c>
    </row>
    <row r="247" customFormat="false" ht="46.25" hidden="false" customHeight="false" outlineLevel="0" collapsed="false">
      <c r="A247" s="4" t="s">
        <v>1294</v>
      </c>
      <c r="B247" s="4" t="n">
        <v>100190</v>
      </c>
      <c r="C247" s="4" t="n">
        <v>340</v>
      </c>
      <c r="D247" s="4" t="n">
        <v>1862</v>
      </c>
      <c r="E247" s="4" t="n">
        <v>1962</v>
      </c>
      <c r="F247" s="4" t="s">
        <v>81</v>
      </c>
      <c r="G247" s="4" t="s">
        <v>82</v>
      </c>
      <c r="H247" s="4" t="s">
        <v>969</v>
      </c>
      <c r="I247" s="4" t="s">
        <v>747</v>
      </c>
      <c r="J247" s="4" t="s">
        <v>748</v>
      </c>
      <c r="K247" s="4" t="s">
        <v>1065</v>
      </c>
    </row>
    <row r="248" customFormat="false" ht="46.25" hidden="false" customHeight="false" outlineLevel="0" collapsed="false">
      <c r="A248" s="4" t="s">
        <v>1295</v>
      </c>
      <c r="B248" s="4" t="n">
        <v>100191</v>
      </c>
      <c r="C248" s="4" t="n">
        <v>332</v>
      </c>
      <c r="D248" s="4" t="n">
        <v>1908</v>
      </c>
      <c r="E248" s="4" t="n">
        <v>1962</v>
      </c>
      <c r="F248" s="4" t="s">
        <v>405</v>
      </c>
      <c r="G248" s="4" t="s">
        <v>406</v>
      </c>
      <c r="H248" s="4" t="s">
        <v>969</v>
      </c>
      <c r="I248" s="4" t="s">
        <v>747</v>
      </c>
      <c r="J248" s="4" t="s">
        <v>962</v>
      </c>
      <c r="K248" s="4" t="s">
        <v>1296</v>
      </c>
    </row>
    <row r="249" customFormat="false" ht="57.45" hidden="false" customHeight="false" outlineLevel="0" collapsed="false">
      <c r="A249" s="4" t="s">
        <v>1297</v>
      </c>
      <c r="B249" s="4" t="n">
        <v>100193</v>
      </c>
      <c r="C249" s="4" t="n">
        <v>328</v>
      </c>
      <c r="D249" s="4" t="n">
        <v>1888</v>
      </c>
      <c r="E249" s="4" t="n">
        <v>1958</v>
      </c>
      <c r="F249" s="4" t="s">
        <v>298</v>
      </c>
      <c r="G249" s="4" t="s">
        <v>299</v>
      </c>
      <c r="H249" s="4" t="s">
        <v>969</v>
      </c>
      <c r="I249" s="4" t="s">
        <v>718</v>
      </c>
      <c r="J249" s="4" t="s">
        <v>857</v>
      </c>
      <c r="K249" s="4" t="s">
        <v>1209</v>
      </c>
    </row>
    <row r="250" customFormat="false" ht="46.25" hidden="false" customHeight="false" outlineLevel="0" collapsed="false">
      <c r="A250" s="4" t="s">
        <v>1298</v>
      </c>
      <c r="B250" s="4" t="n">
        <v>100194</v>
      </c>
      <c r="C250" s="4" t="n">
        <v>325</v>
      </c>
      <c r="D250" s="4" t="n">
        <v>1912</v>
      </c>
      <c r="E250" s="4" t="n">
        <v>1923</v>
      </c>
      <c r="F250" s="4" t="s">
        <v>278</v>
      </c>
      <c r="G250" s="4" t="s">
        <v>280</v>
      </c>
      <c r="H250" s="4" t="s">
        <v>969</v>
      </c>
      <c r="I250" s="4" t="s">
        <v>718</v>
      </c>
      <c r="J250" s="4" t="s">
        <v>995</v>
      </c>
      <c r="K250" s="4" t="s">
        <v>1268</v>
      </c>
    </row>
    <row r="251" customFormat="false" ht="46.25" hidden="false" customHeight="false" outlineLevel="0" collapsed="false">
      <c r="A251" s="4" t="s">
        <v>1299</v>
      </c>
      <c r="B251" s="4" t="n">
        <v>100195</v>
      </c>
      <c r="C251" s="4" t="n">
        <v>324</v>
      </c>
      <c r="D251" s="4" t="n">
        <v>1870</v>
      </c>
      <c r="E251" s="4" t="n">
        <v>1949</v>
      </c>
      <c r="F251" s="4" t="s">
        <v>89</v>
      </c>
      <c r="G251" s="4" t="s">
        <v>211</v>
      </c>
      <c r="H251" s="4" t="s">
        <v>969</v>
      </c>
      <c r="I251" s="4" t="s">
        <v>718</v>
      </c>
      <c r="J251" s="4" t="s">
        <v>910</v>
      </c>
      <c r="K251" s="4" t="s">
        <v>1103</v>
      </c>
    </row>
    <row r="252" customFormat="false" ht="57.45" hidden="false" customHeight="false" outlineLevel="0" collapsed="false">
      <c r="A252" s="4" t="s">
        <v>1300</v>
      </c>
      <c r="B252" s="4" t="n">
        <v>100196</v>
      </c>
      <c r="C252" s="4" t="n">
        <v>321</v>
      </c>
      <c r="D252" s="4" t="n">
        <v>1875</v>
      </c>
      <c r="E252" s="4" t="n">
        <v>1933</v>
      </c>
      <c r="F252" s="4" t="s">
        <v>266</v>
      </c>
      <c r="G252" s="4" t="s">
        <v>288</v>
      </c>
      <c r="H252" s="4" t="s">
        <v>969</v>
      </c>
      <c r="I252" s="4" t="s">
        <v>718</v>
      </c>
      <c r="J252" s="4" t="s">
        <v>773</v>
      </c>
      <c r="K252" s="4" t="s">
        <v>1074</v>
      </c>
    </row>
    <row r="253" customFormat="false" ht="46.25" hidden="false" customHeight="false" outlineLevel="0" collapsed="false">
      <c r="A253" s="4" t="s">
        <v>1301</v>
      </c>
      <c r="B253" s="4" t="n">
        <v>100073</v>
      </c>
      <c r="C253" s="4" t="n">
        <v>319</v>
      </c>
      <c r="D253" s="4" t="n">
        <v>1897</v>
      </c>
      <c r="E253" s="4" t="n">
        <v>1960</v>
      </c>
      <c r="F253" s="4" t="s">
        <v>451</v>
      </c>
      <c r="G253" s="4" t="s">
        <v>453</v>
      </c>
      <c r="H253" s="4" t="s">
        <v>969</v>
      </c>
      <c r="I253" s="4" t="s">
        <v>718</v>
      </c>
      <c r="J253" s="4" t="s">
        <v>1193</v>
      </c>
      <c r="K253" s="4" t="s">
        <v>1194</v>
      </c>
    </row>
    <row r="254" customFormat="false" ht="46.25" hidden="false" customHeight="false" outlineLevel="0" collapsed="false">
      <c r="A254" s="4" t="s">
        <v>1302</v>
      </c>
      <c r="B254" s="4" t="n">
        <v>100198</v>
      </c>
      <c r="C254" s="4" t="n">
        <v>317</v>
      </c>
      <c r="D254" s="4" t="n">
        <v>1908</v>
      </c>
      <c r="E254" s="4" t="n">
        <v>1962</v>
      </c>
      <c r="F254" s="4" t="s">
        <v>387</v>
      </c>
      <c r="G254" s="4" t="s">
        <v>388</v>
      </c>
      <c r="H254" s="4" t="s">
        <v>969</v>
      </c>
      <c r="I254" s="4" t="s">
        <v>747</v>
      </c>
      <c r="J254" s="4" t="s">
        <v>962</v>
      </c>
      <c r="K254" s="4" t="s">
        <v>1079</v>
      </c>
    </row>
    <row r="255" customFormat="false" ht="46.25" hidden="false" customHeight="false" outlineLevel="0" collapsed="false">
      <c r="A255" s="4" t="s">
        <v>1303</v>
      </c>
      <c r="B255" s="4" t="n">
        <v>100192</v>
      </c>
      <c r="C255" s="4" t="n">
        <v>312</v>
      </c>
      <c r="D255" s="4" t="n">
        <v>1862</v>
      </c>
      <c r="E255" s="4" t="n">
        <v>1962</v>
      </c>
      <c r="F255" s="4" t="s">
        <v>51</v>
      </c>
      <c r="G255" s="4" t="s">
        <v>52</v>
      </c>
      <c r="H255" s="4" t="s">
        <v>969</v>
      </c>
      <c r="I255" s="4" t="s">
        <v>747</v>
      </c>
      <c r="J255" s="4" t="s">
        <v>748</v>
      </c>
      <c r="K255" s="4" t="s">
        <v>1088</v>
      </c>
    </row>
    <row r="256" customFormat="false" ht="46.25" hidden="false" customHeight="false" outlineLevel="0" collapsed="false">
      <c r="A256" s="4" t="s">
        <v>1304</v>
      </c>
      <c r="B256" s="4" t="n">
        <v>100201</v>
      </c>
      <c r="C256" s="4" t="n">
        <v>312</v>
      </c>
      <c r="D256" s="4" t="n">
        <v>1901</v>
      </c>
      <c r="E256" s="4" t="n">
        <v>1958</v>
      </c>
      <c r="F256" s="4" t="s">
        <v>489</v>
      </c>
      <c r="G256" s="4" t="s">
        <v>490</v>
      </c>
      <c r="H256" s="4" t="s">
        <v>969</v>
      </c>
      <c r="I256" s="4" t="s">
        <v>747</v>
      </c>
      <c r="J256" s="4" t="s">
        <v>1119</v>
      </c>
      <c r="K256" s="4" t="s">
        <v>1120</v>
      </c>
    </row>
    <row r="257" customFormat="false" ht="46.25" hidden="false" customHeight="false" outlineLevel="0" collapsed="false">
      <c r="A257" s="4" t="s">
        <v>1305</v>
      </c>
      <c r="B257" s="4" t="n">
        <v>100202</v>
      </c>
      <c r="C257" s="4" t="n">
        <v>312</v>
      </c>
      <c r="D257" s="4" t="n">
        <v>1894</v>
      </c>
      <c r="E257" s="4" t="n">
        <v>1961</v>
      </c>
      <c r="F257" s="4" t="s">
        <v>478</v>
      </c>
      <c r="G257" s="4" t="s">
        <v>479</v>
      </c>
      <c r="H257" s="4" t="s">
        <v>969</v>
      </c>
      <c r="I257" s="4" t="s">
        <v>718</v>
      </c>
      <c r="J257" s="4" t="s">
        <v>1096</v>
      </c>
      <c r="K257" s="4" t="s">
        <v>1097</v>
      </c>
    </row>
    <row r="258" customFormat="false" ht="46.25" hidden="false" customHeight="false" outlineLevel="0" collapsed="false">
      <c r="A258" s="4" t="s">
        <v>1306</v>
      </c>
      <c r="B258" s="4" t="n">
        <v>100203</v>
      </c>
      <c r="C258" s="4" t="n">
        <v>312</v>
      </c>
      <c r="D258" s="4" t="n">
        <v>1902</v>
      </c>
      <c r="E258" s="4" t="n">
        <v>1961</v>
      </c>
      <c r="F258" s="4" t="s">
        <v>257</v>
      </c>
      <c r="G258" s="4" t="s">
        <v>258</v>
      </c>
      <c r="H258" s="4" t="s">
        <v>969</v>
      </c>
      <c r="I258" s="4" t="s">
        <v>718</v>
      </c>
      <c r="J258" s="4" t="s">
        <v>1128</v>
      </c>
      <c r="K258" s="4" t="s">
        <v>1129</v>
      </c>
    </row>
    <row r="259" customFormat="false" ht="46.25" hidden="false" customHeight="false" outlineLevel="0" collapsed="false">
      <c r="A259" s="4" t="s">
        <v>1307</v>
      </c>
      <c r="B259" s="4" t="n">
        <v>100204</v>
      </c>
      <c r="C259" s="4" t="n">
        <v>308</v>
      </c>
      <c r="D259" s="4" t="n">
        <v>1870</v>
      </c>
      <c r="E259" s="4" t="n">
        <v>1949</v>
      </c>
      <c r="F259" s="4" t="s">
        <v>89</v>
      </c>
      <c r="G259" s="4" t="s">
        <v>211</v>
      </c>
      <c r="H259" s="4" t="s">
        <v>969</v>
      </c>
      <c r="I259" s="4" t="s">
        <v>718</v>
      </c>
      <c r="J259" s="4" t="s">
        <v>910</v>
      </c>
      <c r="K259" s="4" t="s">
        <v>1103</v>
      </c>
    </row>
    <row r="260" customFormat="false" ht="46.25" hidden="false" customHeight="false" outlineLevel="0" collapsed="false">
      <c r="A260" s="4" t="s">
        <v>1308</v>
      </c>
      <c r="B260" s="4" t="n">
        <v>100180</v>
      </c>
      <c r="C260" s="4" t="n">
        <v>306</v>
      </c>
      <c r="D260" s="4" t="n">
        <v>1908</v>
      </c>
      <c r="E260" s="4" t="n">
        <v>1962</v>
      </c>
      <c r="F260" s="4" t="s">
        <v>387</v>
      </c>
      <c r="G260" s="4" t="s">
        <v>388</v>
      </c>
      <c r="H260" s="4" t="s">
        <v>969</v>
      </c>
      <c r="I260" s="4" t="s">
        <v>747</v>
      </c>
      <c r="J260" s="4" t="s">
        <v>962</v>
      </c>
      <c r="K260" s="4" t="s">
        <v>1079</v>
      </c>
    </row>
    <row r="261" customFormat="false" ht="57.45" hidden="false" customHeight="false" outlineLevel="0" collapsed="false">
      <c r="A261" s="4" t="s">
        <v>1309</v>
      </c>
      <c r="B261" s="4" t="n">
        <v>100219</v>
      </c>
      <c r="C261" s="4" t="n">
        <v>303</v>
      </c>
      <c r="D261" s="4" t="n">
        <v>1875</v>
      </c>
      <c r="E261" s="4" t="n">
        <v>1900</v>
      </c>
      <c r="F261" s="4" t="s">
        <v>244</v>
      </c>
      <c r="G261" s="4" t="s">
        <v>245</v>
      </c>
      <c r="H261" s="4" t="s">
        <v>969</v>
      </c>
      <c r="I261" s="4" t="s">
        <v>718</v>
      </c>
      <c r="J261" s="4" t="s">
        <v>1067</v>
      </c>
      <c r="K261" s="4" t="s">
        <v>1068</v>
      </c>
    </row>
    <row r="262" customFormat="false" ht="46.25" hidden="false" customHeight="false" outlineLevel="0" collapsed="false">
      <c r="A262" s="4" t="s">
        <v>1310</v>
      </c>
      <c r="B262" s="4" t="n">
        <v>100207</v>
      </c>
      <c r="C262" s="4" t="n">
        <v>300</v>
      </c>
      <c r="D262" s="4" t="n">
        <v>1890</v>
      </c>
      <c r="E262" s="4" t="n">
        <v>1958</v>
      </c>
      <c r="F262" s="4" t="s">
        <v>322</v>
      </c>
      <c r="G262" s="4" t="s">
        <v>323</v>
      </c>
      <c r="H262" s="4" t="s">
        <v>969</v>
      </c>
      <c r="I262" s="4" t="s">
        <v>718</v>
      </c>
      <c r="J262" s="4" t="s">
        <v>1151</v>
      </c>
      <c r="K262" s="4" t="s">
        <v>1152</v>
      </c>
    </row>
    <row r="263" customFormat="false" ht="46.25" hidden="false" customHeight="false" outlineLevel="0" collapsed="false">
      <c r="A263" s="4" t="s">
        <v>1311</v>
      </c>
      <c r="B263" s="4" t="n">
        <v>100209</v>
      </c>
      <c r="C263" s="4" t="n">
        <v>291</v>
      </c>
      <c r="D263" s="4" t="n">
        <v>1870</v>
      </c>
      <c r="E263" s="4" t="n">
        <v>1949</v>
      </c>
      <c r="F263" s="4" t="s">
        <v>89</v>
      </c>
      <c r="G263" s="4" t="s">
        <v>211</v>
      </c>
      <c r="H263" s="4" t="s">
        <v>969</v>
      </c>
      <c r="I263" s="4" t="s">
        <v>718</v>
      </c>
      <c r="J263" s="4" t="s">
        <v>910</v>
      </c>
      <c r="K263" s="4" t="s">
        <v>1103</v>
      </c>
    </row>
    <row r="264" customFormat="false" ht="46.25" hidden="false" customHeight="false" outlineLevel="0" collapsed="false">
      <c r="A264" s="4" t="s">
        <v>1312</v>
      </c>
      <c r="B264" s="4" t="n">
        <v>100212</v>
      </c>
      <c r="C264" s="4" t="n">
        <v>289</v>
      </c>
      <c r="D264" s="4" t="n">
        <v>1870</v>
      </c>
      <c r="E264" s="4" t="n">
        <v>1949</v>
      </c>
      <c r="F264" s="4" t="s">
        <v>89</v>
      </c>
      <c r="G264" s="4" t="s">
        <v>211</v>
      </c>
      <c r="H264" s="4" t="s">
        <v>969</v>
      </c>
      <c r="I264" s="4" t="s">
        <v>718</v>
      </c>
      <c r="J264" s="4" t="s">
        <v>910</v>
      </c>
      <c r="K264" s="4" t="s">
        <v>1103</v>
      </c>
    </row>
    <row r="265" customFormat="false" ht="46.25" hidden="false" customHeight="false" outlineLevel="0" collapsed="false">
      <c r="A265" s="4" t="s">
        <v>1313</v>
      </c>
      <c r="B265" s="4" t="n">
        <v>100428</v>
      </c>
      <c r="C265" s="4" t="n">
        <v>288</v>
      </c>
      <c r="D265" s="4" t="n">
        <v>1901</v>
      </c>
      <c r="E265" s="4" t="n">
        <v>1962</v>
      </c>
      <c r="F265" s="4" t="s">
        <v>51</v>
      </c>
      <c r="G265" s="4" t="s">
        <v>52</v>
      </c>
      <c r="H265" s="4" t="s">
        <v>969</v>
      </c>
      <c r="I265" s="4" t="s">
        <v>747</v>
      </c>
      <c r="J265" s="4" t="s">
        <v>1177</v>
      </c>
      <c r="K265" s="4" t="s">
        <v>1178</v>
      </c>
    </row>
    <row r="266" customFormat="false" ht="57.45" hidden="false" customHeight="false" outlineLevel="0" collapsed="false">
      <c r="A266" s="4" t="s">
        <v>1314</v>
      </c>
      <c r="B266" s="4" t="n">
        <v>100199</v>
      </c>
      <c r="C266" s="4" t="n">
        <v>287</v>
      </c>
      <c r="D266" s="4" t="n">
        <v>1891</v>
      </c>
      <c r="E266" s="4" t="n">
        <v>1958</v>
      </c>
      <c r="F266" s="4" t="s">
        <v>332</v>
      </c>
      <c r="G266" s="4" t="s">
        <v>333</v>
      </c>
      <c r="H266" s="4" t="s">
        <v>969</v>
      </c>
      <c r="I266" s="4" t="s">
        <v>718</v>
      </c>
      <c r="J266" s="4" t="s">
        <v>1200</v>
      </c>
      <c r="K266" s="4" t="s">
        <v>1201</v>
      </c>
    </row>
    <row r="267" customFormat="false" ht="46.25" hidden="false" customHeight="false" outlineLevel="0" collapsed="false">
      <c r="A267" s="4" t="s">
        <v>1315</v>
      </c>
      <c r="B267" s="4" t="n">
        <v>100213</v>
      </c>
      <c r="C267" s="4" t="n">
        <v>287</v>
      </c>
      <c r="D267" s="4" t="n">
        <v>1865</v>
      </c>
      <c r="E267" s="4" t="n">
        <v>1961</v>
      </c>
      <c r="F267" s="4" t="s">
        <v>102</v>
      </c>
      <c r="G267" s="4" t="s">
        <v>103</v>
      </c>
      <c r="H267" s="4" t="s">
        <v>969</v>
      </c>
      <c r="I267" s="4" t="s">
        <v>718</v>
      </c>
      <c r="J267" s="4" t="s">
        <v>1159</v>
      </c>
      <c r="K267" s="4" t="s">
        <v>1160</v>
      </c>
    </row>
    <row r="268" customFormat="false" ht="46.25" hidden="false" customHeight="false" outlineLevel="0" collapsed="false">
      <c r="A268" s="4" t="s">
        <v>1316</v>
      </c>
      <c r="B268" s="4" t="n">
        <v>100214</v>
      </c>
      <c r="C268" s="4" t="n">
        <v>285</v>
      </c>
      <c r="D268" s="4" t="n">
        <v>1872</v>
      </c>
      <c r="E268" s="4" t="n">
        <v>1933</v>
      </c>
      <c r="F268" s="4" t="s">
        <v>115</v>
      </c>
      <c r="G268" s="4" t="s">
        <v>116</v>
      </c>
      <c r="H268" s="4" t="s">
        <v>969</v>
      </c>
      <c r="I268" s="4" t="s">
        <v>718</v>
      </c>
      <c r="J268" s="4" t="s">
        <v>1145</v>
      </c>
      <c r="K268" s="4" t="s">
        <v>1146</v>
      </c>
    </row>
    <row r="269" customFormat="false" ht="46.25" hidden="false" customHeight="false" outlineLevel="0" collapsed="false">
      <c r="A269" s="4" t="s">
        <v>1317</v>
      </c>
      <c r="B269" s="4" t="n">
        <v>100210</v>
      </c>
      <c r="C269" s="4" t="n">
        <v>283</v>
      </c>
      <c r="D269" s="4" t="n">
        <v>1870</v>
      </c>
      <c r="E269" s="4" t="n">
        <v>1949</v>
      </c>
      <c r="F269" s="4" t="s">
        <v>89</v>
      </c>
      <c r="G269" s="4" t="s">
        <v>211</v>
      </c>
      <c r="H269" s="4" t="s">
        <v>969</v>
      </c>
      <c r="I269" s="4" t="s">
        <v>718</v>
      </c>
      <c r="J269" s="4" t="s">
        <v>910</v>
      </c>
      <c r="K269" s="4" t="s">
        <v>1103</v>
      </c>
    </row>
    <row r="270" customFormat="false" ht="46.25" hidden="false" customHeight="false" outlineLevel="0" collapsed="false">
      <c r="A270" s="4" t="s">
        <v>1318</v>
      </c>
      <c r="B270" s="4" t="n">
        <v>100215</v>
      </c>
      <c r="C270" s="4" t="n">
        <v>282</v>
      </c>
      <c r="D270" s="4" t="n">
        <v>1908</v>
      </c>
      <c r="E270" s="4" t="n">
        <v>1962</v>
      </c>
      <c r="F270" s="4" t="s">
        <v>387</v>
      </c>
      <c r="G270" s="4" t="s">
        <v>388</v>
      </c>
      <c r="H270" s="4" t="s">
        <v>969</v>
      </c>
      <c r="I270" s="4" t="s">
        <v>747</v>
      </c>
      <c r="J270" s="4" t="s">
        <v>962</v>
      </c>
      <c r="K270" s="4" t="s">
        <v>1079</v>
      </c>
    </row>
    <row r="271" customFormat="false" ht="57.45" hidden="false" customHeight="false" outlineLevel="0" collapsed="false">
      <c r="A271" s="4" t="s">
        <v>1319</v>
      </c>
      <c r="B271" s="4" t="n">
        <v>100216</v>
      </c>
      <c r="C271" s="4" t="n">
        <v>282</v>
      </c>
      <c r="D271" s="4" t="n">
        <v>1888</v>
      </c>
      <c r="E271" s="4" t="n">
        <v>1958</v>
      </c>
      <c r="F271" s="4" t="s">
        <v>298</v>
      </c>
      <c r="G271" s="4" t="s">
        <v>299</v>
      </c>
      <c r="H271" s="4" t="s">
        <v>969</v>
      </c>
      <c r="I271" s="4" t="s">
        <v>718</v>
      </c>
      <c r="J271" s="4" t="s">
        <v>857</v>
      </c>
      <c r="K271" s="4" t="s">
        <v>1209</v>
      </c>
    </row>
    <row r="272" customFormat="false" ht="46.25" hidden="false" customHeight="false" outlineLevel="0" collapsed="false">
      <c r="A272" s="4" t="s">
        <v>1320</v>
      </c>
      <c r="B272" s="4" t="n">
        <v>100217</v>
      </c>
      <c r="C272" s="4" t="n">
        <v>281</v>
      </c>
      <c r="D272" s="4" t="n">
        <v>1862</v>
      </c>
      <c r="E272" s="4" t="n">
        <v>1962</v>
      </c>
      <c r="F272" s="4" t="s">
        <v>51</v>
      </c>
      <c r="G272" s="4" t="s">
        <v>52</v>
      </c>
      <c r="H272" s="4" t="s">
        <v>969</v>
      </c>
      <c r="I272" s="4" t="s">
        <v>747</v>
      </c>
      <c r="J272" s="4" t="s">
        <v>748</v>
      </c>
      <c r="K272" s="4" t="s">
        <v>1088</v>
      </c>
    </row>
    <row r="273" customFormat="false" ht="57.45" hidden="false" customHeight="false" outlineLevel="0" collapsed="false">
      <c r="A273" s="4" t="s">
        <v>1321</v>
      </c>
      <c r="B273" s="4" t="n">
        <v>100272</v>
      </c>
      <c r="C273" s="4" t="n">
        <v>280</v>
      </c>
      <c r="D273" s="4" t="n">
        <v>1943</v>
      </c>
      <c r="E273" s="4" t="n">
        <v>1960</v>
      </c>
      <c r="F273" s="4" t="s">
        <v>499</v>
      </c>
      <c r="G273" s="4" t="s">
        <v>500</v>
      </c>
      <c r="H273" s="4" t="s">
        <v>969</v>
      </c>
      <c r="I273" s="4" t="s">
        <v>718</v>
      </c>
      <c r="J273" s="4" t="s">
        <v>1256</v>
      </c>
      <c r="K273" s="4" t="s">
        <v>1257</v>
      </c>
    </row>
    <row r="274" customFormat="false" ht="46.25" hidden="false" customHeight="false" outlineLevel="0" collapsed="false">
      <c r="A274" s="4" t="s">
        <v>1322</v>
      </c>
      <c r="B274" s="4" t="n">
        <v>100218</v>
      </c>
      <c r="C274" s="4" t="n">
        <v>276</v>
      </c>
      <c r="D274" s="4" t="n">
        <v>1862</v>
      </c>
      <c r="E274" s="4" t="n">
        <v>1962</v>
      </c>
      <c r="F274" s="4" t="s">
        <v>51</v>
      </c>
      <c r="G274" s="4" t="s">
        <v>52</v>
      </c>
      <c r="H274" s="4" t="s">
        <v>969</v>
      </c>
      <c r="I274" s="4" t="s">
        <v>747</v>
      </c>
      <c r="J274" s="4" t="s">
        <v>748</v>
      </c>
      <c r="K274" s="4" t="s">
        <v>1088</v>
      </c>
    </row>
    <row r="275" customFormat="false" ht="57.45" hidden="false" customHeight="false" outlineLevel="0" collapsed="false">
      <c r="A275" s="4" t="s">
        <v>1323</v>
      </c>
      <c r="B275" s="4" t="n">
        <v>100222</v>
      </c>
      <c r="C275" s="4" t="n">
        <v>268</v>
      </c>
      <c r="D275" s="4" t="n">
        <v>1876</v>
      </c>
      <c r="E275" s="4" t="n">
        <v>1933</v>
      </c>
      <c r="F275" s="4" t="s">
        <v>266</v>
      </c>
      <c r="G275" s="4" t="s">
        <v>288</v>
      </c>
      <c r="H275" s="4" t="s">
        <v>969</v>
      </c>
      <c r="I275" s="4" t="s">
        <v>718</v>
      </c>
      <c r="J275" s="4" t="s">
        <v>1240</v>
      </c>
      <c r="K275" s="4" t="s">
        <v>1241</v>
      </c>
    </row>
    <row r="276" customFormat="false" ht="46.25" hidden="false" customHeight="false" outlineLevel="0" collapsed="false">
      <c r="A276" s="4" t="s">
        <v>1324</v>
      </c>
      <c r="B276" s="4" t="n">
        <v>100224</v>
      </c>
      <c r="C276" s="4" t="n">
        <v>268</v>
      </c>
      <c r="D276" s="4" t="n">
        <v>1893</v>
      </c>
      <c r="E276" s="4" t="n">
        <v>1962</v>
      </c>
      <c r="F276" s="4" t="s">
        <v>376</v>
      </c>
      <c r="G276" s="4" t="s">
        <v>377</v>
      </c>
      <c r="H276" s="4" t="s">
        <v>969</v>
      </c>
      <c r="I276" s="4" t="s">
        <v>747</v>
      </c>
      <c r="J276" s="4" t="s">
        <v>1139</v>
      </c>
      <c r="K276" s="4" t="s">
        <v>1140</v>
      </c>
    </row>
    <row r="277" customFormat="false" ht="57.45" hidden="false" customHeight="false" outlineLevel="0" collapsed="false">
      <c r="A277" s="4" t="s">
        <v>1325</v>
      </c>
      <c r="B277" s="4" t="n">
        <v>100225</v>
      </c>
      <c r="C277" s="4" t="n">
        <v>267</v>
      </c>
      <c r="D277" s="4" t="n">
        <v>1891</v>
      </c>
      <c r="E277" s="4" t="n">
        <v>1958</v>
      </c>
      <c r="F277" s="4" t="s">
        <v>332</v>
      </c>
      <c r="G277" s="4" t="s">
        <v>333</v>
      </c>
      <c r="H277" s="4" t="s">
        <v>969</v>
      </c>
      <c r="I277" s="4" t="s">
        <v>718</v>
      </c>
      <c r="J277" s="4" t="s">
        <v>1200</v>
      </c>
      <c r="K277" s="4" t="s">
        <v>1201</v>
      </c>
    </row>
    <row r="278" customFormat="false" ht="46.25" hidden="false" customHeight="false" outlineLevel="0" collapsed="false">
      <c r="A278" s="4" t="s">
        <v>1326</v>
      </c>
      <c r="B278" s="4" t="n">
        <v>100226</v>
      </c>
      <c r="C278" s="4" t="n">
        <v>267</v>
      </c>
      <c r="D278" s="4" t="n">
        <v>1865</v>
      </c>
      <c r="E278" s="4" t="n">
        <v>1961</v>
      </c>
      <c r="F278" s="4" t="s">
        <v>102</v>
      </c>
      <c r="G278" s="4" t="s">
        <v>103</v>
      </c>
      <c r="H278" s="4" t="s">
        <v>969</v>
      </c>
      <c r="I278" s="4" t="s">
        <v>718</v>
      </c>
      <c r="J278" s="4" t="s">
        <v>1159</v>
      </c>
      <c r="K278" s="4" t="s">
        <v>1160</v>
      </c>
    </row>
    <row r="279" customFormat="false" ht="57.45" hidden="false" customHeight="false" outlineLevel="0" collapsed="false">
      <c r="A279" s="4" t="s">
        <v>1327</v>
      </c>
      <c r="B279" s="4" t="n">
        <v>100227</v>
      </c>
      <c r="C279" s="4" t="n">
        <v>266</v>
      </c>
      <c r="D279" s="4" t="n">
        <v>1875</v>
      </c>
      <c r="E279" s="4" t="n">
        <v>1933</v>
      </c>
      <c r="F279" s="4" t="s">
        <v>266</v>
      </c>
      <c r="G279" s="4" t="s">
        <v>288</v>
      </c>
      <c r="H279" s="4" t="s">
        <v>969</v>
      </c>
      <c r="I279" s="4" t="s">
        <v>718</v>
      </c>
      <c r="J279" s="4" t="s">
        <v>773</v>
      </c>
      <c r="K279" s="4" t="s">
        <v>1074</v>
      </c>
    </row>
    <row r="280" customFormat="false" ht="46.25" hidden="false" customHeight="false" outlineLevel="0" collapsed="false">
      <c r="A280" s="4" t="s">
        <v>1328</v>
      </c>
      <c r="B280" s="4" t="n">
        <v>100228</v>
      </c>
      <c r="C280" s="4" t="n">
        <v>266</v>
      </c>
      <c r="D280" s="4" t="n">
        <v>1865</v>
      </c>
      <c r="E280" s="4" t="n">
        <v>1961</v>
      </c>
      <c r="F280" s="4" t="s">
        <v>102</v>
      </c>
      <c r="G280" s="4" t="s">
        <v>103</v>
      </c>
      <c r="H280" s="4" t="s">
        <v>969</v>
      </c>
      <c r="I280" s="4" t="s">
        <v>718</v>
      </c>
      <c r="J280" s="4" t="s">
        <v>1159</v>
      </c>
      <c r="K280" s="4" t="s">
        <v>1160</v>
      </c>
    </row>
    <row r="281" customFormat="false" ht="46.25" hidden="false" customHeight="false" outlineLevel="0" collapsed="false">
      <c r="A281" s="4" t="s">
        <v>1329</v>
      </c>
      <c r="B281" s="4" t="n">
        <v>100229</v>
      </c>
      <c r="C281" s="4" t="n">
        <v>266</v>
      </c>
      <c r="D281" s="4" t="n">
        <v>1908</v>
      </c>
      <c r="E281" s="4" t="n">
        <v>1962</v>
      </c>
      <c r="F281" s="4" t="s">
        <v>405</v>
      </c>
      <c r="G281" s="4" t="s">
        <v>406</v>
      </c>
      <c r="H281" s="4" t="s">
        <v>969</v>
      </c>
      <c r="I281" s="4" t="s">
        <v>747</v>
      </c>
      <c r="J281" s="4" t="s">
        <v>962</v>
      </c>
      <c r="K281" s="4" t="s">
        <v>1296</v>
      </c>
    </row>
    <row r="282" customFormat="false" ht="46.25" hidden="false" customHeight="false" outlineLevel="0" collapsed="false">
      <c r="A282" s="4" t="s">
        <v>1330</v>
      </c>
      <c r="B282" s="4" t="n">
        <v>100230</v>
      </c>
      <c r="C282" s="4" t="n">
        <v>264</v>
      </c>
      <c r="D282" s="4" t="n">
        <v>1873</v>
      </c>
      <c r="E282" s="4" t="n">
        <v>1960</v>
      </c>
      <c r="F282" s="4" t="s">
        <v>183</v>
      </c>
      <c r="G282" s="4" t="s">
        <v>184</v>
      </c>
      <c r="H282" s="4" t="s">
        <v>969</v>
      </c>
      <c r="I282" s="4" t="s">
        <v>718</v>
      </c>
      <c r="J282" s="4" t="s">
        <v>796</v>
      </c>
      <c r="K282" s="4" t="s">
        <v>1105</v>
      </c>
    </row>
    <row r="283" customFormat="false" ht="46.25" hidden="false" customHeight="false" outlineLevel="0" collapsed="false">
      <c r="A283" s="4" t="s">
        <v>1331</v>
      </c>
      <c r="B283" s="4" t="n">
        <v>100220</v>
      </c>
      <c r="C283" s="4" t="n">
        <v>261</v>
      </c>
      <c r="D283" s="4" t="n">
        <v>1865</v>
      </c>
      <c r="E283" s="4" t="n">
        <v>1961</v>
      </c>
      <c r="F283" s="4" t="s">
        <v>102</v>
      </c>
      <c r="G283" s="4" t="s">
        <v>103</v>
      </c>
      <c r="H283" s="4" t="s">
        <v>969</v>
      </c>
      <c r="I283" s="4" t="s">
        <v>718</v>
      </c>
      <c r="J283" s="4" t="s">
        <v>1159</v>
      </c>
      <c r="K283" s="4" t="s">
        <v>1160</v>
      </c>
    </row>
    <row r="284" customFormat="false" ht="57.45" hidden="false" customHeight="false" outlineLevel="0" collapsed="false">
      <c r="A284" s="4" t="s">
        <v>1332</v>
      </c>
      <c r="B284" s="4" t="n">
        <v>100232</v>
      </c>
      <c r="C284" s="4" t="n">
        <v>259</v>
      </c>
      <c r="D284" s="4" t="n">
        <v>1888</v>
      </c>
      <c r="E284" s="4" t="n">
        <v>1958</v>
      </c>
      <c r="F284" s="4" t="s">
        <v>298</v>
      </c>
      <c r="G284" s="4" t="s">
        <v>299</v>
      </c>
      <c r="H284" s="4" t="s">
        <v>969</v>
      </c>
      <c r="I284" s="4" t="s">
        <v>718</v>
      </c>
      <c r="J284" s="4" t="s">
        <v>857</v>
      </c>
      <c r="K284" s="4" t="s">
        <v>1209</v>
      </c>
    </row>
    <row r="285" customFormat="false" ht="57.45" hidden="false" customHeight="false" outlineLevel="0" collapsed="false">
      <c r="A285" s="4" t="s">
        <v>1333</v>
      </c>
      <c r="B285" s="4" t="n">
        <v>100233</v>
      </c>
      <c r="C285" s="4" t="n">
        <v>259</v>
      </c>
      <c r="D285" s="4" t="n">
        <v>1891</v>
      </c>
      <c r="E285" s="4" t="n">
        <v>1958</v>
      </c>
      <c r="F285" s="4" t="s">
        <v>332</v>
      </c>
      <c r="G285" s="4" t="s">
        <v>333</v>
      </c>
      <c r="H285" s="4" t="s">
        <v>969</v>
      </c>
      <c r="I285" s="4" t="s">
        <v>718</v>
      </c>
      <c r="J285" s="4" t="s">
        <v>1200</v>
      </c>
      <c r="K285" s="4" t="s">
        <v>1201</v>
      </c>
    </row>
    <row r="286" customFormat="false" ht="46.25" hidden="false" customHeight="false" outlineLevel="0" collapsed="false">
      <c r="A286" s="4" t="s">
        <v>1334</v>
      </c>
      <c r="B286" s="4" t="n">
        <v>100234</v>
      </c>
      <c r="C286" s="4" t="n">
        <v>255</v>
      </c>
      <c r="D286" s="4" t="n">
        <v>1890</v>
      </c>
      <c r="E286" s="4" t="n">
        <v>1958</v>
      </c>
      <c r="F286" s="4" t="s">
        <v>322</v>
      </c>
      <c r="G286" s="4" t="s">
        <v>323</v>
      </c>
      <c r="H286" s="4" t="s">
        <v>969</v>
      </c>
      <c r="I286" s="4" t="s">
        <v>718</v>
      </c>
      <c r="J286" s="4" t="s">
        <v>1151</v>
      </c>
      <c r="K286" s="4" t="s">
        <v>1152</v>
      </c>
    </row>
    <row r="287" customFormat="false" ht="46.25" hidden="false" customHeight="false" outlineLevel="0" collapsed="false">
      <c r="A287" s="4" t="s">
        <v>1335</v>
      </c>
      <c r="B287" s="4" t="n">
        <v>100235</v>
      </c>
      <c r="C287" s="4" t="n">
        <v>253</v>
      </c>
      <c r="D287" s="4" t="n">
        <v>1862</v>
      </c>
      <c r="E287" s="4" t="n">
        <v>1960</v>
      </c>
      <c r="F287" s="4" t="s">
        <v>68</v>
      </c>
      <c r="G287" s="4" t="s">
        <v>69</v>
      </c>
      <c r="H287" s="4" t="s">
        <v>969</v>
      </c>
      <c r="I287" s="4" t="s">
        <v>747</v>
      </c>
      <c r="J287" s="4" t="s">
        <v>742</v>
      </c>
      <c r="K287" s="4" t="s">
        <v>1169</v>
      </c>
    </row>
    <row r="288" customFormat="false" ht="46.25" hidden="false" customHeight="false" outlineLevel="0" collapsed="false">
      <c r="A288" s="4" t="s">
        <v>1336</v>
      </c>
      <c r="B288" s="4" t="n">
        <v>100237</v>
      </c>
      <c r="C288" s="4" t="n">
        <v>246</v>
      </c>
      <c r="D288" s="4" t="n">
        <v>1896</v>
      </c>
      <c r="E288" s="4" t="n">
        <v>1902</v>
      </c>
      <c r="F288" s="4" t="s">
        <v>443</v>
      </c>
      <c r="G288" s="4" t="s">
        <v>444</v>
      </c>
      <c r="H288" s="4" t="s">
        <v>969</v>
      </c>
      <c r="I288" s="4" t="s">
        <v>994</v>
      </c>
      <c r="J288" s="4" t="s">
        <v>1076</v>
      </c>
      <c r="K288" s="4" t="s">
        <v>1077</v>
      </c>
    </row>
    <row r="289" customFormat="false" ht="46.25" hidden="false" customHeight="false" outlineLevel="0" collapsed="false">
      <c r="A289" s="4" t="s">
        <v>1337</v>
      </c>
      <c r="B289" s="4" t="n">
        <v>100241</v>
      </c>
      <c r="C289" s="4" t="n">
        <v>245</v>
      </c>
      <c r="D289" s="4" t="n">
        <v>1870</v>
      </c>
      <c r="E289" s="4" t="n">
        <v>1949</v>
      </c>
      <c r="F289" s="4" t="s">
        <v>89</v>
      </c>
      <c r="G289" s="4" t="s">
        <v>211</v>
      </c>
      <c r="H289" s="4" t="s">
        <v>969</v>
      </c>
      <c r="I289" s="4" t="s">
        <v>718</v>
      </c>
      <c r="J289" s="4" t="s">
        <v>910</v>
      </c>
      <c r="K289" s="4" t="s">
        <v>1103</v>
      </c>
    </row>
    <row r="290" customFormat="false" ht="46.25" hidden="false" customHeight="false" outlineLevel="0" collapsed="false">
      <c r="A290" s="4" t="s">
        <v>1338</v>
      </c>
      <c r="B290" s="4" t="n">
        <v>100242</v>
      </c>
      <c r="C290" s="4" t="n">
        <v>245</v>
      </c>
      <c r="D290" s="4" t="n">
        <v>1865</v>
      </c>
      <c r="E290" s="4" t="n">
        <v>1961</v>
      </c>
      <c r="F290" s="4" t="s">
        <v>102</v>
      </c>
      <c r="G290" s="4" t="s">
        <v>103</v>
      </c>
      <c r="H290" s="4" t="s">
        <v>969</v>
      </c>
      <c r="I290" s="4" t="s">
        <v>718</v>
      </c>
      <c r="J290" s="4" t="s">
        <v>1159</v>
      </c>
      <c r="K290" s="4" t="s">
        <v>1160</v>
      </c>
    </row>
    <row r="291" customFormat="false" ht="46.25" hidden="false" customHeight="false" outlineLevel="0" collapsed="false">
      <c r="A291" s="4" t="s">
        <v>1339</v>
      </c>
      <c r="B291" s="4" t="n">
        <v>100243</v>
      </c>
      <c r="C291" s="4" t="n">
        <v>243</v>
      </c>
      <c r="D291" s="4" t="n">
        <v>1908</v>
      </c>
      <c r="E291" s="4" t="n">
        <v>1962</v>
      </c>
      <c r="F291" s="4" t="s">
        <v>405</v>
      </c>
      <c r="G291" s="4" t="s">
        <v>406</v>
      </c>
      <c r="H291" s="4" t="s">
        <v>969</v>
      </c>
      <c r="I291" s="4" t="s">
        <v>747</v>
      </c>
      <c r="J291" s="4" t="s">
        <v>962</v>
      </c>
      <c r="K291" s="4" t="s">
        <v>1296</v>
      </c>
    </row>
    <row r="292" customFormat="false" ht="57.45" hidden="false" customHeight="false" outlineLevel="0" collapsed="false">
      <c r="A292" s="4" t="s">
        <v>1340</v>
      </c>
      <c r="B292" s="4" t="n">
        <v>100436</v>
      </c>
      <c r="C292" s="4" t="n">
        <v>240</v>
      </c>
      <c r="D292" s="4" t="n">
        <v>1875</v>
      </c>
      <c r="E292" s="4" t="n">
        <v>1933</v>
      </c>
      <c r="F292" s="4" t="s">
        <v>266</v>
      </c>
      <c r="G292" s="4" t="s">
        <v>288</v>
      </c>
      <c r="H292" s="4" t="s">
        <v>969</v>
      </c>
      <c r="I292" s="4" t="s">
        <v>718</v>
      </c>
      <c r="J292" s="4" t="s">
        <v>773</v>
      </c>
      <c r="K292" s="4" t="s">
        <v>1074</v>
      </c>
    </row>
    <row r="293" customFormat="false" ht="46.25" hidden="false" customHeight="false" outlineLevel="0" collapsed="false">
      <c r="A293" s="4" t="s">
        <v>1341</v>
      </c>
      <c r="B293" s="4" t="n">
        <v>100439</v>
      </c>
      <c r="C293" s="4" t="n">
        <v>239</v>
      </c>
      <c r="D293" s="4" t="n">
        <v>1896</v>
      </c>
      <c r="E293" s="4" t="n">
        <v>1935</v>
      </c>
      <c r="F293" s="4" t="s">
        <v>128</v>
      </c>
      <c r="G293" s="4" t="s">
        <v>129</v>
      </c>
      <c r="H293" s="4" t="s">
        <v>969</v>
      </c>
      <c r="I293" s="4" t="s">
        <v>718</v>
      </c>
      <c r="J293" s="4" t="s">
        <v>780</v>
      </c>
      <c r="K293" s="4" t="s">
        <v>1342</v>
      </c>
    </row>
    <row r="294" customFormat="false" ht="46.25" hidden="false" customHeight="false" outlineLevel="0" collapsed="false">
      <c r="A294" s="4" t="s">
        <v>1343</v>
      </c>
      <c r="B294" s="4" t="n">
        <v>100239</v>
      </c>
      <c r="C294" s="4" t="n">
        <v>234</v>
      </c>
      <c r="D294" s="4" t="n">
        <v>1894</v>
      </c>
      <c r="E294" s="4" t="n">
        <v>1908</v>
      </c>
      <c r="F294" s="4" t="s">
        <v>478</v>
      </c>
      <c r="G294" s="4" t="s">
        <v>479</v>
      </c>
      <c r="H294" s="4" t="s">
        <v>969</v>
      </c>
      <c r="I294" s="4" t="s">
        <v>718</v>
      </c>
      <c r="J294" s="4" t="s">
        <v>1181</v>
      </c>
      <c r="K294" s="4" t="s">
        <v>1182</v>
      </c>
    </row>
    <row r="295" customFormat="false" ht="46.25" hidden="false" customHeight="false" outlineLevel="0" collapsed="false">
      <c r="A295" s="4" t="s">
        <v>1344</v>
      </c>
      <c r="B295" s="4" t="n">
        <v>100246</v>
      </c>
      <c r="C295" s="4" t="n">
        <v>230</v>
      </c>
      <c r="D295" s="4" t="n">
        <v>1941</v>
      </c>
      <c r="E295" s="4" t="n">
        <v>1960</v>
      </c>
      <c r="F295" s="4" t="s">
        <v>68</v>
      </c>
      <c r="G295" s="4" t="s">
        <v>69</v>
      </c>
      <c r="H295" s="4" t="s">
        <v>969</v>
      </c>
      <c r="I295" s="4" t="s">
        <v>747</v>
      </c>
      <c r="J295" s="4" t="s">
        <v>1271</v>
      </c>
      <c r="K295" s="4" t="s">
        <v>1272</v>
      </c>
    </row>
    <row r="296" customFormat="false" ht="46.25" hidden="false" customHeight="false" outlineLevel="0" collapsed="false">
      <c r="A296" s="4" t="s">
        <v>1345</v>
      </c>
      <c r="B296" s="4" t="n">
        <v>100126</v>
      </c>
      <c r="C296" s="4" t="n">
        <v>219</v>
      </c>
      <c r="D296" s="4" t="n">
        <v>1888</v>
      </c>
      <c r="E296" s="4" t="n">
        <v>1900</v>
      </c>
      <c r="F296" s="4" t="s">
        <v>244</v>
      </c>
      <c r="G296" s="4" t="s">
        <v>245</v>
      </c>
      <c r="H296" s="4" t="s">
        <v>969</v>
      </c>
      <c r="I296" s="4" t="s">
        <v>718</v>
      </c>
      <c r="J296" s="4" t="s">
        <v>1346</v>
      </c>
      <c r="K296" s="4" t="s">
        <v>1216</v>
      </c>
    </row>
    <row r="297" customFormat="false" ht="46.25" hidden="false" customHeight="false" outlineLevel="0" collapsed="false">
      <c r="A297" s="4" t="s">
        <v>1347</v>
      </c>
      <c r="B297" s="4" t="n">
        <v>100254</v>
      </c>
      <c r="C297" s="4" t="n">
        <v>219</v>
      </c>
      <c r="D297" s="4" t="n">
        <v>1896</v>
      </c>
      <c r="E297" s="4" t="n">
        <v>1962</v>
      </c>
      <c r="F297" s="4" t="s">
        <v>152</v>
      </c>
      <c r="G297" s="4" t="s">
        <v>153</v>
      </c>
      <c r="H297" s="4" t="s">
        <v>969</v>
      </c>
      <c r="I297" s="4" t="s">
        <v>718</v>
      </c>
      <c r="J297" s="4" t="s">
        <v>939</v>
      </c>
      <c r="K297" s="4" t="s">
        <v>1246</v>
      </c>
    </row>
    <row r="298" customFormat="false" ht="46.25" hidden="false" customHeight="false" outlineLevel="0" collapsed="false">
      <c r="A298" s="4" t="s">
        <v>1348</v>
      </c>
      <c r="B298" s="4" t="n">
        <v>100255</v>
      </c>
      <c r="C298" s="4" t="n">
        <v>212</v>
      </c>
      <c r="D298" s="4" t="n">
        <v>1897</v>
      </c>
      <c r="E298" s="4" t="n">
        <v>1960</v>
      </c>
      <c r="F298" s="4" t="s">
        <v>451</v>
      </c>
      <c r="G298" s="4" t="s">
        <v>453</v>
      </c>
      <c r="H298" s="4" t="s">
        <v>969</v>
      </c>
      <c r="I298" s="4" t="s">
        <v>718</v>
      </c>
      <c r="J298" s="4" t="s">
        <v>1193</v>
      </c>
      <c r="K298" s="4" t="s">
        <v>1194</v>
      </c>
    </row>
    <row r="299" customFormat="false" ht="46.25" hidden="false" customHeight="false" outlineLevel="0" collapsed="false">
      <c r="A299" s="4" t="s">
        <v>1349</v>
      </c>
      <c r="B299" s="4" t="n">
        <v>100256</v>
      </c>
      <c r="C299" s="4" t="n">
        <v>212</v>
      </c>
      <c r="D299" s="4" t="n">
        <v>1896</v>
      </c>
      <c r="E299" s="4" t="n">
        <v>1962</v>
      </c>
      <c r="F299" s="4" t="s">
        <v>152</v>
      </c>
      <c r="G299" s="4" t="s">
        <v>153</v>
      </c>
      <c r="H299" s="4" t="s">
        <v>969</v>
      </c>
      <c r="I299" s="4" t="s">
        <v>718</v>
      </c>
      <c r="J299" s="4" t="s">
        <v>939</v>
      </c>
      <c r="K299" s="4" t="s">
        <v>1246</v>
      </c>
    </row>
    <row r="300" customFormat="false" ht="46.25" hidden="false" customHeight="false" outlineLevel="0" collapsed="false">
      <c r="A300" s="4" t="s">
        <v>1350</v>
      </c>
      <c r="B300" s="4" t="n">
        <v>100257</v>
      </c>
      <c r="C300" s="4" t="n">
        <v>212</v>
      </c>
      <c r="D300" s="4" t="n">
        <v>1870</v>
      </c>
      <c r="E300" s="4" t="n">
        <v>1949</v>
      </c>
      <c r="F300" s="4" t="s">
        <v>89</v>
      </c>
      <c r="G300" s="4" t="s">
        <v>211</v>
      </c>
      <c r="H300" s="4" t="s">
        <v>969</v>
      </c>
      <c r="I300" s="4" t="s">
        <v>718</v>
      </c>
      <c r="J300" s="4" t="s">
        <v>910</v>
      </c>
      <c r="K300" s="4" t="s">
        <v>1103</v>
      </c>
    </row>
    <row r="301" customFormat="false" ht="46.25" hidden="false" customHeight="false" outlineLevel="0" collapsed="false">
      <c r="A301" s="4" t="s">
        <v>1351</v>
      </c>
      <c r="B301" s="4" t="n">
        <v>100258</v>
      </c>
      <c r="C301" s="4" t="n">
        <v>210</v>
      </c>
      <c r="D301" s="4" t="n">
        <v>1897</v>
      </c>
      <c r="E301" s="4" t="n">
        <v>1960</v>
      </c>
      <c r="F301" s="4" t="s">
        <v>451</v>
      </c>
      <c r="G301" s="4" t="s">
        <v>453</v>
      </c>
      <c r="H301" s="4" t="s">
        <v>969</v>
      </c>
      <c r="I301" s="4" t="s">
        <v>718</v>
      </c>
      <c r="J301" s="4" t="s">
        <v>1193</v>
      </c>
      <c r="K301" s="4" t="s">
        <v>1194</v>
      </c>
    </row>
    <row r="302" customFormat="false" ht="46.25" hidden="false" customHeight="false" outlineLevel="0" collapsed="false">
      <c r="A302" s="4" t="s">
        <v>1352</v>
      </c>
      <c r="B302" s="4" t="n">
        <v>100427</v>
      </c>
      <c r="C302" s="4" t="n">
        <v>208</v>
      </c>
      <c r="D302" s="4" t="n">
        <v>1901</v>
      </c>
      <c r="E302" s="4" t="n">
        <v>1962</v>
      </c>
      <c r="F302" s="4" t="s">
        <v>51</v>
      </c>
      <c r="G302" s="4" t="s">
        <v>52</v>
      </c>
      <c r="H302" s="4" t="s">
        <v>969</v>
      </c>
      <c r="I302" s="4" t="s">
        <v>747</v>
      </c>
      <c r="J302" s="4" t="s">
        <v>1177</v>
      </c>
      <c r="K302" s="4" t="s">
        <v>1178</v>
      </c>
    </row>
    <row r="303" customFormat="false" ht="57.45" hidden="false" customHeight="false" outlineLevel="0" collapsed="false">
      <c r="A303" s="4" t="s">
        <v>1353</v>
      </c>
      <c r="B303" s="4" t="n">
        <v>100259</v>
      </c>
      <c r="C303" s="4" t="n">
        <v>207</v>
      </c>
      <c r="D303" s="4" t="n">
        <v>1908</v>
      </c>
      <c r="E303" s="4" t="n">
        <v>1949</v>
      </c>
      <c r="F303" s="4" t="s">
        <v>509</v>
      </c>
      <c r="G303" s="4" t="s">
        <v>510</v>
      </c>
      <c r="H303" s="4" t="s">
        <v>969</v>
      </c>
      <c r="I303" s="4" t="s">
        <v>718</v>
      </c>
      <c r="J303" s="4" t="s">
        <v>1354</v>
      </c>
      <c r="K303" s="4" t="s">
        <v>1355</v>
      </c>
    </row>
    <row r="304" customFormat="false" ht="46.25" hidden="false" customHeight="false" outlineLevel="0" collapsed="false">
      <c r="A304" s="4" t="s">
        <v>1356</v>
      </c>
      <c r="B304" s="4" t="n">
        <v>100262</v>
      </c>
      <c r="C304" s="4" t="n">
        <v>198</v>
      </c>
      <c r="D304" s="4" t="n">
        <v>1901</v>
      </c>
      <c r="E304" s="4" t="n">
        <v>1958</v>
      </c>
      <c r="F304" s="4" t="s">
        <v>489</v>
      </c>
      <c r="G304" s="4" t="s">
        <v>490</v>
      </c>
      <c r="H304" s="4" t="s">
        <v>969</v>
      </c>
      <c r="I304" s="4" t="s">
        <v>747</v>
      </c>
      <c r="J304" s="4" t="s">
        <v>1119</v>
      </c>
      <c r="K304" s="4" t="s">
        <v>1120</v>
      </c>
    </row>
    <row r="305" customFormat="false" ht="46.25" hidden="false" customHeight="false" outlineLevel="0" collapsed="false">
      <c r="A305" s="4" t="s">
        <v>1357</v>
      </c>
      <c r="B305" s="4" t="n">
        <v>100263</v>
      </c>
      <c r="C305" s="4" t="n">
        <v>196</v>
      </c>
      <c r="D305" s="4" t="n">
        <v>1865</v>
      </c>
      <c r="E305" s="4" t="n">
        <v>1961</v>
      </c>
      <c r="F305" s="4" t="s">
        <v>102</v>
      </c>
      <c r="G305" s="4" t="s">
        <v>103</v>
      </c>
      <c r="H305" s="4" t="s">
        <v>969</v>
      </c>
      <c r="I305" s="4" t="s">
        <v>718</v>
      </c>
      <c r="J305" s="4" t="s">
        <v>1159</v>
      </c>
      <c r="K305" s="4" t="s">
        <v>1160</v>
      </c>
    </row>
    <row r="306" customFormat="false" ht="46.25" hidden="false" customHeight="false" outlineLevel="0" collapsed="false">
      <c r="A306" s="4" t="s">
        <v>1358</v>
      </c>
      <c r="B306" s="4" t="n">
        <v>100266</v>
      </c>
      <c r="C306" s="4" t="n">
        <v>194</v>
      </c>
      <c r="D306" s="4" t="n">
        <v>1908</v>
      </c>
      <c r="E306" s="4" t="n">
        <v>1962</v>
      </c>
      <c r="F306" s="4" t="s">
        <v>405</v>
      </c>
      <c r="G306" s="4" t="s">
        <v>406</v>
      </c>
      <c r="H306" s="4" t="s">
        <v>969</v>
      </c>
      <c r="I306" s="4" t="s">
        <v>747</v>
      </c>
      <c r="J306" s="4" t="s">
        <v>962</v>
      </c>
      <c r="K306" s="4" t="s">
        <v>1296</v>
      </c>
    </row>
    <row r="307" customFormat="false" ht="46.25" hidden="false" customHeight="false" outlineLevel="0" collapsed="false">
      <c r="A307" s="4" t="s">
        <v>1359</v>
      </c>
      <c r="B307" s="4" t="n">
        <v>100267</v>
      </c>
      <c r="C307" s="4" t="n">
        <v>189</v>
      </c>
      <c r="D307" s="4" t="n">
        <v>1862</v>
      </c>
      <c r="E307" s="4" t="n">
        <v>1962</v>
      </c>
      <c r="F307" s="4" t="s">
        <v>51</v>
      </c>
      <c r="G307" s="4" t="s">
        <v>52</v>
      </c>
      <c r="H307" s="4" t="s">
        <v>969</v>
      </c>
      <c r="I307" s="4" t="s">
        <v>747</v>
      </c>
      <c r="J307" s="4" t="s">
        <v>748</v>
      </c>
      <c r="K307" s="4" t="s">
        <v>1088</v>
      </c>
    </row>
    <row r="308" customFormat="false" ht="46.25" hidden="false" customHeight="false" outlineLevel="0" collapsed="false">
      <c r="A308" s="4" t="s">
        <v>1360</v>
      </c>
      <c r="B308" s="4" t="n">
        <v>100268</v>
      </c>
      <c r="C308" s="4" t="n">
        <v>185</v>
      </c>
      <c r="D308" s="4" t="n">
        <v>1908</v>
      </c>
      <c r="E308" s="4" t="n">
        <v>1962</v>
      </c>
      <c r="F308" s="4" t="s">
        <v>387</v>
      </c>
      <c r="G308" s="4" t="s">
        <v>388</v>
      </c>
      <c r="H308" s="4" t="s">
        <v>969</v>
      </c>
      <c r="I308" s="4" t="s">
        <v>747</v>
      </c>
      <c r="J308" s="4" t="s">
        <v>962</v>
      </c>
      <c r="K308" s="4" t="s">
        <v>1079</v>
      </c>
    </row>
    <row r="309" customFormat="false" ht="46.25" hidden="false" customHeight="false" outlineLevel="0" collapsed="false">
      <c r="A309" s="4" t="s">
        <v>1361</v>
      </c>
      <c r="B309" s="4" t="n">
        <v>100269</v>
      </c>
      <c r="C309" s="4" t="n">
        <v>182</v>
      </c>
      <c r="D309" s="4" t="n">
        <v>1865</v>
      </c>
      <c r="E309" s="4" t="n">
        <v>1961</v>
      </c>
      <c r="F309" s="4" t="s">
        <v>102</v>
      </c>
      <c r="G309" s="4" t="s">
        <v>103</v>
      </c>
      <c r="H309" s="4" t="s">
        <v>969</v>
      </c>
      <c r="I309" s="4" t="s">
        <v>718</v>
      </c>
      <c r="J309" s="4" t="s">
        <v>1159</v>
      </c>
      <c r="K309" s="4" t="s">
        <v>1160</v>
      </c>
    </row>
    <row r="310" customFormat="false" ht="46.25" hidden="false" customHeight="false" outlineLevel="0" collapsed="false">
      <c r="A310" s="4" t="s">
        <v>1362</v>
      </c>
      <c r="B310" s="4" t="n">
        <v>100270</v>
      </c>
      <c r="C310" s="4" t="n">
        <v>181</v>
      </c>
      <c r="D310" s="4" t="n">
        <v>1890</v>
      </c>
      <c r="E310" s="4" t="n">
        <v>1960</v>
      </c>
      <c r="F310" s="4" t="s">
        <v>423</v>
      </c>
      <c r="G310" s="4" t="s">
        <v>424</v>
      </c>
      <c r="H310" s="4" t="s">
        <v>969</v>
      </c>
      <c r="I310" s="4" t="s">
        <v>718</v>
      </c>
      <c r="J310" s="4" t="s">
        <v>893</v>
      </c>
      <c r="K310" s="4" t="s">
        <v>1026</v>
      </c>
    </row>
    <row r="311" customFormat="false" ht="57.45" hidden="false" customHeight="false" outlineLevel="0" collapsed="false">
      <c r="A311" s="4" t="s">
        <v>1363</v>
      </c>
      <c r="B311" s="4" t="n">
        <v>100271</v>
      </c>
      <c r="C311" s="4" t="n">
        <v>180</v>
      </c>
      <c r="D311" s="4" t="n">
        <v>1891</v>
      </c>
      <c r="E311" s="4" t="n">
        <v>1958</v>
      </c>
      <c r="F311" s="4" t="s">
        <v>332</v>
      </c>
      <c r="G311" s="4" t="s">
        <v>333</v>
      </c>
      <c r="H311" s="4" t="s">
        <v>969</v>
      </c>
      <c r="I311" s="4" t="s">
        <v>718</v>
      </c>
      <c r="J311" s="4" t="s">
        <v>1200</v>
      </c>
      <c r="K311" s="4" t="s">
        <v>1201</v>
      </c>
    </row>
    <row r="312" customFormat="false" ht="46.25" hidden="false" customHeight="false" outlineLevel="0" collapsed="false">
      <c r="A312" s="4" t="s">
        <v>1364</v>
      </c>
      <c r="B312" s="4" t="n">
        <v>100273</v>
      </c>
      <c r="C312" s="4" t="n">
        <v>178</v>
      </c>
      <c r="D312" s="4" t="n">
        <v>1865</v>
      </c>
      <c r="E312" s="4" t="n">
        <v>1961</v>
      </c>
      <c r="F312" s="4" t="s">
        <v>102</v>
      </c>
      <c r="G312" s="4" t="s">
        <v>103</v>
      </c>
      <c r="H312" s="4" t="s">
        <v>969</v>
      </c>
      <c r="I312" s="4" t="s">
        <v>718</v>
      </c>
      <c r="J312" s="4" t="s">
        <v>1159</v>
      </c>
      <c r="K312" s="4" t="s">
        <v>1160</v>
      </c>
    </row>
    <row r="313" customFormat="false" ht="57.45" hidden="false" customHeight="false" outlineLevel="0" collapsed="false">
      <c r="A313" s="4" t="s">
        <v>1365</v>
      </c>
      <c r="B313" s="4" t="n">
        <v>100274</v>
      </c>
      <c r="C313" s="4" t="n">
        <v>178</v>
      </c>
      <c r="D313" s="4" t="n">
        <v>1875</v>
      </c>
      <c r="E313" s="4" t="n">
        <v>1933</v>
      </c>
      <c r="F313" s="4" t="s">
        <v>266</v>
      </c>
      <c r="G313" s="4" t="s">
        <v>288</v>
      </c>
      <c r="H313" s="4" t="s">
        <v>969</v>
      </c>
      <c r="I313" s="4" t="s">
        <v>718</v>
      </c>
      <c r="J313" s="4" t="s">
        <v>773</v>
      </c>
      <c r="K313" s="4" t="s">
        <v>1074</v>
      </c>
    </row>
    <row r="314" customFormat="false" ht="57.45" hidden="false" customHeight="false" outlineLevel="0" collapsed="false">
      <c r="A314" s="4" t="s">
        <v>1366</v>
      </c>
      <c r="B314" s="4" t="n">
        <v>100275</v>
      </c>
      <c r="C314" s="4" t="n">
        <v>178</v>
      </c>
      <c r="D314" s="4" t="n">
        <v>1876</v>
      </c>
      <c r="E314" s="4" t="n">
        <v>1933</v>
      </c>
      <c r="F314" s="4" t="s">
        <v>266</v>
      </c>
      <c r="G314" s="4" t="s">
        <v>288</v>
      </c>
      <c r="H314" s="4" t="s">
        <v>969</v>
      </c>
      <c r="I314" s="4" t="s">
        <v>718</v>
      </c>
      <c r="J314" s="4" t="s">
        <v>1240</v>
      </c>
      <c r="K314" s="4" t="s">
        <v>1241</v>
      </c>
    </row>
    <row r="315" customFormat="false" ht="46.25" hidden="false" customHeight="false" outlineLevel="0" collapsed="false">
      <c r="A315" s="4" t="s">
        <v>1367</v>
      </c>
      <c r="B315" s="4" t="n">
        <v>100276</v>
      </c>
      <c r="C315" s="4" t="n">
        <v>177</v>
      </c>
      <c r="D315" s="4" t="n">
        <v>1862</v>
      </c>
      <c r="E315" s="4" t="n">
        <v>1962</v>
      </c>
      <c r="F315" s="4" t="s">
        <v>51</v>
      </c>
      <c r="G315" s="4" t="s">
        <v>52</v>
      </c>
      <c r="H315" s="4" t="s">
        <v>969</v>
      </c>
      <c r="I315" s="4" t="s">
        <v>747</v>
      </c>
      <c r="J315" s="4" t="s">
        <v>748</v>
      </c>
      <c r="K315" s="4" t="s">
        <v>1088</v>
      </c>
    </row>
    <row r="316" customFormat="false" ht="46.25" hidden="false" customHeight="false" outlineLevel="0" collapsed="false">
      <c r="A316" s="4" t="s">
        <v>1368</v>
      </c>
      <c r="B316" s="4" t="n">
        <v>100277</v>
      </c>
      <c r="C316" s="4" t="n">
        <v>177</v>
      </c>
      <c r="D316" s="4" t="n">
        <v>1872</v>
      </c>
      <c r="E316" s="4" t="n">
        <v>1935</v>
      </c>
      <c r="F316" s="4" t="s">
        <v>141</v>
      </c>
      <c r="G316" s="4" t="s">
        <v>142</v>
      </c>
      <c r="H316" s="4" t="s">
        <v>969</v>
      </c>
      <c r="I316" s="4" t="s">
        <v>718</v>
      </c>
      <c r="J316" s="4" t="s">
        <v>723</v>
      </c>
      <c r="K316" s="4" t="s">
        <v>1226</v>
      </c>
    </row>
    <row r="317" customFormat="false" ht="46.25" hidden="false" customHeight="false" outlineLevel="0" collapsed="false">
      <c r="A317" s="4" t="s">
        <v>1369</v>
      </c>
      <c r="B317" s="4" t="n">
        <v>100280</v>
      </c>
      <c r="C317" s="4" t="n">
        <v>173</v>
      </c>
      <c r="D317" s="4" t="n">
        <v>1865</v>
      </c>
      <c r="E317" s="4" t="n">
        <v>1961</v>
      </c>
      <c r="F317" s="4" t="s">
        <v>102</v>
      </c>
      <c r="G317" s="4" t="s">
        <v>103</v>
      </c>
      <c r="H317" s="4" t="s">
        <v>969</v>
      </c>
      <c r="I317" s="4" t="s">
        <v>718</v>
      </c>
      <c r="J317" s="4" t="s">
        <v>1159</v>
      </c>
      <c r="K317" s="4" t="s">
        <v>1160</v>
      </c>
    </row>
    <row r="318" customFormat="false" ht="46.25" hidden="false" customHeight="false" outlineLevel="0" collapsed="false">
      <c r="A318" s="4" t="s">
        <v>1370</v>
      </c>
      <c r="B318" s="4" t="n">
        <v>100101</v>
      </c>
      <c r="C318" s="4" t="n">
        <v>172</v>
      </c>
      <c r="D318" s="4" t="n">
        <v>1923</v>
      </c>
      <c r="E318" s="4" t="n">
        <v>1956</v>
      </c>
      <c r="F318" s="4" t="s">
        <v>603</v>
      </c>
      <c r="G318" s="4" t="s">
        <v>604</v>
      </c>
      <c r="H318" s="4" t="s">
        <v>969</v>
      </c>
      <c r="I318" s="4" t="s">
        <v>747</v>
      </c>
      <c r="J318" s="4" t="s">
        <v>1212</v>
      </c>
      <c r="K318" s="4" t="s">
        <v>1213</v>
      </c>
    </row>
    <row r="319" customFormat="false" ht="46.25" hidden="false" customHeight="false" outlineLevel="0" collapsed="false">
      <c r="A319" s="4" t="s">
        <v>1371</v>
      </c>
      <c r="B319" s="4" t="n">
        <v>100282</v>
      </c>
      <c r="C319" s="4" t="n">
        <v>172</v>
      </c>
      <c r="D319" s="4" t="n">
        <v>1908</v>
      </c>
      <c r="E319" s="4" t="n">
        <v>1962</v>
      </c>
      <c r="F319" s="4" t="s">
        <v>397</v>
      </c>
      <c r="G319" s="4" t="s">
        <v>398</v>
      </c>
      <c r="H319" s="4" t="s">
        <v>969</v>
      </c>
      <c r="I319" s="4" t="s">
        <v>747</v>
      </c>
      <c r="J319" s="4" t="s">
        <v>962</v>
      </c>
      <c r="K319" s="4" t="s">
        <v>1197</v>
      </c>
    </row>
    <row r="320" customFormat="false" ht="46.25" hidden="false" customHeight="false" outlineLevel="0" collapsed="false">
      <c r="A320" s="4" t="s">
        <v>1372</v>
      </c>
      <c r="B320" s="4" t="n">
        <v>100283</v>
      </c>
      <c r="C320" s="4" t="n">
        <v>172</v>
      </c>
      <c r="D320" s="4" t="n">
        <v>1908</v>
      </c>
      <c r="E320" s="4" t="n">
        <v>1961</v>
      </c>
      <c r="F320" s="4" t="s">
        <v>478</v>
      </c>
      <c r="G320" s="4" t="s">
        <v>479</v>
      </c>
      <c r="H320" s="4" t="s">
        <v>969</v>
      </c>
      <c r="I320" s="4" t="s">
        <v>718</v>
      </c>
      <c r="J320" s="4" t="s">
        <v>1282</v>
      </c>
      <c r="K320" s="4" t="s">
        <v>1283</v>
      </c>
    </row>
    <row r="321" customFormat="false" ht="46.25" hidden="false" customHeight="false" outlineLevel="0" collapsed="false">
      <c r="A321" s="4" t="s">
        <v>1373</v>
      </c>
      <c r="B321" s="4" t="n">
        <v>100287</v>
      </c>
      <c r="C321" s="4" t="n">
        <v>167</v>
      </c>
      <c r="D321" s="4" t="n">
        <v>1896</v>
      </c>
      <c r="E321" s="4" t="n">
        <v>1902</v>
      </c>
      <c r="F321" s="4" t="s">
        <v>443</v>
      </c>
      <c r="G321" s="4" t="s">
        <v>444</v>
      </c>
      <c r="H321" s="4" t="s">
        <v>969</v>
      </c>
      <c r="I321" s="4" t="s">
        <v>994</v>
      </c>
      <c r="J321" s="4" t="s">
        <v>1076</v>
      </c>
      <c r="K321" s="4" t="s">
        <v>1077</v>
      </c>
    </row>
    <row r="322" customFormat="false" ht="46.25" hidden="false" customHeight="false" outlineLevel="0" collapsed="false">
      <c r="A322" s="4" t="s">
        <v>1374</v>
      </c>
      <c r="B322" s="4" t="n">
        <v>100288</v>
      </c>
      <c r="C322" s="4" t="n">
        <v>165</v>
      </c>
      <c r="D322" s="4" t="n">
        <v>1896</v>
      </c>
      <c r="E322" s="4" t="n">
        <v>1921</v>
      </c>
      <c r="F322" s="4" t="s">
        <v>642</v>
      </c>
      <c r="G322" s="4" t="s">
        <v>643</v>
      </c>
      <c r="H322" s="4" t="s">
        <v>969</v>
      </c>
      <c r="I322" s="4" t="s">
        <v>956</v>
      </c>
      <c r="J322" s="4" t="s">
        <v>1012</v>
      </c>
      <c r="K322" s="4" t="s">
        <v>1013</v>
      </c>
    </row>
    <row r="323" customFormat="false" ht="46.25" hidden="false" customHeight="false" outlineLevel="0" collapsed="false">
      <c r="A323" s="4" t="s">
        <v>1375</v>
      </c>
      <c r="B323" s="4" t="n">
        <v>100292</v>
      </c>
      <c r="C323" s="4" t="n">
        <v>160</v>
      </c>
      <c r="D323" s="4" t="n">
        <v>1865</v>
      </c>
      <c r="E323" s="4" t="n">
        <v>1961</v>
      </c>
      <c r="F323" s="4" t="s">
        <v>102</v>
      </c>
      <c r="G323" s="4" t="s">
        <v>103</v>
      </c>
      <c r="H323" s="4" t="s">
        <v>969</v>
      </c>
      <c r="I323" s="4" t="s">
        <v>718</v>
      </c>
      <c r="J323" s="4" t="s">
        <v>1159</v>
      </c>
      <c r="K323" s="4" t="s">
        <v>1160</v>
      </c>
    </row>
    <row r="324" customFormat="false" ht="46.25" hidden="false" customHeight="false" outlineLevel="0" collapsed="false">
      <c r="A324" s="4" t="s">
        <v>1376</v>
      </c>
      <c r="B324" s="4" t="n">
        <v>100293</v>
      </c>
      <c r="C324" s="4" t="n">
        <v>159</v>
      </c>
      <c r="D324" s="4" t="n">
        <v>1870</v>
      </c>
      <c r="E324" s="4" t="n">
        <v>1949</v>
      </c>
      <c r="F324" s="4" t="s">
        <v>89</v>
      </c>
      <c r="G324" s="4" t="s">
        <v>211</v>
      </c>
      <c r="H324" s="4" t="s">
        <v>969</v>
      </c>
      <c r="I324" s="4" t="s">
        <v>718</v>
      </c>
      <c r="J324" s="4" t="s">
        <v>910</v>
      </c>
      <c r="K324" s="4" t="s">
        <v>1103</v>
      </c>
    </row>
    <row r="325" customFormat="false" ht="57.45" hidden="false" customHeight="false" outlineLevel="0" collapsed="false">
      <c r="A325" s="4" t="s">
        <v>1377</v>
      </c>
      <c r="B325" s="4" t="n">
        <v>100285</v>
      </c>
      <c r="C325" s="4" t="n">
        <v>157</v>
      </c>
      <c r="D325" s="4" t="n">
        <v>1891</v>
      </c>
      <c r="E325" s="4" t="n">
        <v>1958</v>
      </c>
      <c r="F325" s="4" t="s">
        <v>332</v>
      </c>
      <c r="G325" s="4" t="s">
        <v>333</v>
      </c>
      <c r="H325" s="4" t="s">
        <v>969</v>
      </c>
      <c r="I325" s="4" t="s">
        <v>718</v>
      </c>
      <c r="J325" s="4" t="s">
        <v>1200</v>
      </c>
      <c r="K325" s="4" t="s">
        <v>1201</v>
      </c>
    </row>
    <row r="326" customFormat="false" ht="46.25" hidden="false" customHeight="false" outlineLevel="0" collapsed="false">
      <c r="A326" s="4" t="s">
        <v>1378</v>
      </c>
      <c r="B326" s="4" t="n">
        <v>100294</v>
      </c>
      <c r="C326" s="4" t="n">
        <v>157</v>
      </c>
      <c r="D326" s="4" t="n">
        <v>1941</v>
      </c>
      <c r="E326" s="4" t="n">
        <v>1960</v>
      </c>
      <c r="F326" s="4" t="s">
        <v>68</v>
      </c>
      <c r="G326" s="4" t="s">
        <v>69</v>
      </c>
      <c r="H326" s="4" t="s">
        <v>969</v>
      </c>
      <c r="I326" s="4" t="s">
        <v>747</v>
      </c>
      <c r="J326" s="4" t="s">
        <v>1271</v>
      </c>
      <c r="K326" s="4" t="s">
        <v>1272</v>
      </c>
    </row>
    <row r="327" customFormat="false" ht="46.25" hidden="false" customHeight="false" outlineLevel="0" collapsed="false">
      <c r="A327" s="4" t="s">
        <v>1379</v>
      </c>
      <c r="B327" s="4" t="n">
        <v>100295</v>
      </c>
      <c r="C327" s="4" t="n">
        <v>156</v>
      </c>
      <c r="D327" s="4" t="n">
        <v>1872</v>
      </c>
      <c r="E327" s="4" t="n">
        <v>1933</v>
      </c>
      <c r="F327" s="4" t="s">
        <v>115</v>
      </c>
      <c r="G327" s="4" t="s">
        <v>116</v>
      </c>
      <c r="H327" s="4" t="s">
        <v>969</v>
      </c>
      <c r="I327" s="4" t="s">
        <v>718</v>
      </c>
      <c r="J327" s="4" t="s">
        <v>1145</v>
      </c>
      <c r="K327" s="4" t="s">
        <v>1146</v>
      </c>
    </row>
    <row r="328" customFormat="false" ht="57.45" hidden="false" customHeight="false" outlineLevel="0" collapsed="false">
      <c r="A328" s="4" t="s">
        <v>1380</v>
      </c>
      <c r="B328" s="4" t="n">
        <v>100435</v>
      </c>
      <c r="C328" s="4" t="n">
        <v>156</v>
      </c>
      <c r="D328" s="4" t="n">
        <v>1875</v>
      </c>
      <c r="E328" s="4" t="n">
        <v>1933</v>
      </c>
      <c r="F328" s="4" t="s">
        <v>266</v>
      </c>
      <c r="G328" s="4" t="s">
        <v>288</v>
      </c>
      <c r="H328" s="4" t="s">
        <v>969</v>
      </c>
      <c r="I328" s="4" t="s">
        <v>718</v>
      </c>
      <c r="J328" s="4" t="s">
        <v>773</v>
      </c>
      <c r="K328" s="4" t="s">
        <v>1074</v>
      </c>
    </row>
    <row r="329" customFormat="false" ht="46.25" hidden="false" customHeight="false" outlineLevel="0" collapsed="false">
      <c r="A329" s="4" t="s">
        <v>1381</v>
      </c>
      <c r="B329" s="4" t="n">
        <v>100296</v>
      </c>
      <c r="C329" s="4" t="n">
        <v>155</v>
      </c>
      <c r="D329" s="4" t="n">
        <v>1873</v>
      </c>
      <c r="E329" s="4" t="n">
        <v>1961</v>
      </c>
      <c r="F329" s="4" t="s">
        <v>162</v>
      </c>
      <c r="G329" s="4" t="s">
        <v>163</v>
      </c>
      <c r="H329" s="4" t="s">
        <v>969</v>
      </c>
      <c r="I329" s="4" t="s">
        <v>718</v>
      </c>
      <c r="J329" s="4" t="s">
        <v>1124</v>
      </c>
      <c r="K329" s="4" t="s">
        <v>1125</v>
      </c>
    </row>
    <row r="330" customFormat="false" ht="46.25" hidden="false" customHeight="false" outlineLevel="0" collapsed="false">
      <c r="A330" s="4" t="s">
        <v>1382</v>
      </c>
      <c r="B330" s="4" t="n">
        <v>100247</v>
      </c>
      <c r="C330" s="4" t="n">
        <v>154</v>
      </c>
      <c r="D330" s="4" t="n">
        <v>1895</v>
      </c>
      <c r="E330" s="4" t="n">
        <v>1962</v>
      </c>
      <c r="F330" s="4" t="s">
        <v>51</v>
      </c>
      <c r="G330" s="4" t="s">
        <v>52</v>
      </c>
      <c r="H330" s="4" t="s">
        <v>969</v>
      </c>
      <c r="I330" s="4" t="s">
        <v>747</v>
      </c>
      <c r="J330" s="4" t="s">
        <v>826</v>
      </c>
      <c r="K330" s="4" t="s">
        <v>1383</v>
      </c>
    </row>
    <row r="331" customFormat="false" ht="46.25" hidden="false" customHeight="false" outlineLevel="0" collapsed="false">
      <c r="A331" s="4" t="s">
        <v>1384</v>
      </c>
      <c r="B331" s="4" t="n">
        <v>100297</v>
      </c>
      <c r="C331" s="4" t="n">
        <v>154</v>
      </c>
      <c r="D331" s="4" t="n">
        <v>1894</v>
      </c>
      <c r="E331" s="4" t="n">
        <v>1908</v>
      </c>
      <c r="F331" s="4" t="s">
        <v>478</v>
      </c>
      <c r="G331" s="4" t="s">
        <v>479</v>
      </c>
      <c r="H331" s="4" t="s">
        <v>969</v>
      </c>
      <c r="I331" s="4" t="s">
        <v>718</v>
      </c>
      <c r="J331" s="4" t="s">
        <v>1181</v>
      </c>
      <c r="K331" s="4" t="s">
        <v>1182</v>
      </c>
    </row>
    <row r="332" customFormat="false" ht="46.25" hidden="false" customHeight="false" outlineLevel="0" collapsed="false">
      <c r="A332" s="4" t="s">
        <v>1385</v>
      </c>
      <c r="B332" s="4" t="n">
        <v>100298</v>
      </c>
      <c r="C332" s="4" t="n">
        <v>152</v>
      </c>
      <c r="D332" s="4" t="n">
        <v>1901</v>
      </c>
      <c r="E332" s="4" t="n">
        <v>1958</v>
      </c>
      <c r="F332" s="4" t="s">
        <v>489</v>
      </c>
      <c r="G332" s="4" t="s">
        <v>490</v>
      </c>
      <c r="H332" s="4" t="s">
        <v>969</v>
      </c>
      <c r="I332" s="4" t="s">
        <v>747</v>
      </c>
      <c r="J332" s="4" t="s">
        <v>1119</v>
      </c>
      <c r="K332" s="4" t="s">
        <v>1120</v>
      </c>
    </row>
    <row r="333" customFormat="false" ht="46.25" hidden="false" customHeight="false" outlineLevel="0" collapsed="false">
      <c r="A333" s="4" t="s">
        <v>1386</v>
      </c>
      <c r="B333" s="4" t="n">
        <v>100299</v>
      </c>
      <c r="C333" s="4" t="n">
        <v>152</v>
      </c>
      <c r="D333" s="4" t="n">
        <v>1901</v>
      </c>
      <c r="E333" s="4" t="n">
        <v>1958</v>
      </c>
      <c r="F333" s="4" t="s">
        <v>489</v>
      </c>
      <c r="G333" s="4" t="s">
        <v>490</v>
      </c>
      <c r="H333" s="4" t="s">
        <v>969</v>
      </c>
      <c r="I333" s="4" t="s">
        <v>747</v>
      </c>
      <c r="J333" s="4" t="s">
        <v>1119</v>
      </c>
      <c r="K333" s="4" t="s">
        <v>1120</v>
      </c>
    </row>
    <row r="334" customFormat="false" ht="46.25" hidden="false" customHeight="false" outlineLevel="0" collapsed="false">
      <c r="A334" s="4" t="s">
        <v>1387</v>
      </c>
      <c r="B334" s="4" t="n">
        <v>100300</v>
      </c>
      <c r="C334" s="4" t="n">
        <v>152</v>
      </c>
      <c r="D334" s="4" t="n">
        <v>1865</v>
      </c>
      <c r="E334" s="4" t="n">
        <v>1961</v>
      </c>
      <c r="F334" s="4" t="s">
        <v>102</v>
      </c>
      <c r="G334" s="4" t="s">
        <v>103</v>
      </c>
      <c r="H334" s="4" t="s">
        <v>969</v>
      </c>
      <c r="I334" s="4" t="s">
        <v>718</v>
      </c>
      <c r="J334" s="4" t="s">
        <v>1159</v>
      </c>
      <c r="K334" s="4" t="s">
        <v>1160</v>
      </c>
    </row>
    <row r="335" customFormat="false" ht="46.25" hidden="false" customHeight="false" outlineLevel="0" collapsed="false">
      <c r="A335" s="4" t="s">
        <v>1388</v>
      </c>
      <c r="B335" s="4" t="n">
        <v>100301</v>
      </c>
      <c r="C335" s="4" t="n">
        <v>151</v>
      </c>
      <c r="D335" s="4" t="n">
        <v>1901</v>
      </c>
      <c r="E335" s="4" t="n">
        <v>1958</v>
      </c>
      <c r="F335" s="4" t="s">
        <v>489</v>
      </c>
      <c r="G335" s="4" t="s">
        <v>490</v>
      </c>
      <c r="H335" s="4" t="s">
        <v>969</v>
      </c>
      <c r="I335" s="4" t="s">
        <v>747</v>
      </c>
      <c r="J335" s="4" t="s">
        <v>1119</v>
      </c>
      <c r="K335" s="4" t="s">
        <v>1120</v>
      </c>
    </row>
    <row r="336" customFormat="false" ht="46.25" hidden="false" customHeight="false" outlineLevel="0" collapsed="false">
      <c r="A336" s="4" t="s">
        <v>1389</v>
      </c>
      <c r="B336" s="4" t="n">
        <v>100302</v>
      </c>
      <c r="C336" s="4" t="n">
        <v>150</v>
      </c>
      <c r="D336" s="4" t="n">
        <v>1862</v>
      </c>
      <c r="E336" s="4" t="n">
        <v>1960</v>
      </c>
      <c r="F336" s="4" t="s">
        <v>68</v>
      </c>
      <c r="G336" s="4" t="s">
        <v>69</v>
      </c>
      <c r="H336" s="4" t="s">
        <v>969</v>
      </c>
      <c r="I336" s="4" t="s">
        <v>747</v>
      </c>
      <c r="J336" s="4" t="s">
        <v>742</v>
      </c>
      <c r="K336" s="4" t="s">
        <v>1169</v>
      </c>
    </row>
    <row r="337" customFormat="false" ht="46.25" hidden="false" customHeight="false" outlineLevel="0" collapsed="false">
      <c r="A337" s="4" t="s">
        <v>1390</v>
      </c>
      <c r="B337" s="4" t="n">
        <v>100304</v>
      </c>
      <c r="C337" s="4" t="n">
        <v>147</v>
      </c>
      <c r="D337" s="4" t="n">
        <v>1883</v>
      </c>
      <c r="E337" s="4" t="n">
        <v>1961</v>
      </c>
      <c r="F337" s="4" t="s">
        <v>162</v>
      </c>
      <c r="G337" s="4" t="s">
        <v>163</v>
      </c>
      <c r="H337" s="4" t="s">
        <v>969</v>
      </c>
      <c r="I337" s="4" t="s">
        <v>718</v>
      </c>
      <c r="J337" s="4" t="s">
        <v>1204</v>
      </c>
      <c r="K337" s="4" t="s">
        <v>1205</v>
      </c>
    </row>
    <row r="338" customFormat="false" ht="46.25" hidden="false" customHeight="false" outlineLevel="0" collapsed="false">
      <c r="A338" s="4" t="s">
        <v>1391</v>
      </c>
      <c r="B338" s="4" t="n">
        <v>100305</v>
      </c>
      <c r="C338" s="4" t="n">
        <v>146</v>
      </c>
      <c r="D338" s="4" t="n">
        <v>1865</v>
      </c>
      <c r="E338" s="4" t="n">
        <v>1961</v>
      </c>
      <c r="F338" s="4" t="s">
        <v>102</v>
      </c>
      <c r="G338" s="4" t="s">
        <v>103</v>
      </c>
      <c r="H338" s="4" t="s">
        <v>969</v>
      </c>
      <c r="I338" s="4" t="s">
        <v>718</v>
      </c>
      <c r="J338" s="4" t="s">
        <v>1159</v>
      </c>
      <c r="K338" s="4" t="s">
        <v>1160</v>
      </c>
    </row>
    <row r="339" customFormat="false" ht="46.25" hidden="false" customHeight="false" outlineLevel="0" collapsed="false">
      <c r="A339" s="4" t="s">
        <v>1392</v>
      </c>
      <c r="B339" s="4" t="n">
        <v>100309</v>
      </c>
      <c r="C339" s="4" t="n">
        <v>146</v>
      </c>
      <c r="D339" s="4" t="n">
        <v>1862</v>
      </c>
      <c r="E339" s="4" t="n">
        <v>1960</v>
      </c>
      <c r="F339" s="4" t="s">
        <v>68</v>
      </c>
      <c r="G339" s="4" t="s">
        <v>69</v>
      </c>
      <c r="H339" s="4" t="s">
        <v>969</v>
      </c>
      <c r="I339" s="4" t="s">
        <v>747</v>
      </c>
      <c r="J339" s="4" t="s">
        <v>742</v>
      </c>
      <c r="K339" s="4" t="s">
        <v>1169</v>
      </c>
    </row>
    <row r="340" customFormat="false" ht="46.25" hidden="false" customHeight="false" outlineLevel="0" collapsed="false">
      <c r="A340" s="4" t="s">
        <v>1393</v>
      </c>
      <c r="B340" s="4" t="n">
        <v>100310</v>
      </c>
      <c r="C340" s="4" t="n">
        <v>145</v>
      </c>
      <c r="D340" s="4" t="n">
        <v>1890</v>
      </c>
      <c r="E340" s="4" t="n">
        <v>1960</v>
      </c>
      <c r="F340" s="4" t="s">
        <v>423</v>
      </c>
      <c r="G340" s="4" t="s">
        <v>424</v>
      </c>
      <c r="H340" s="4" t="s">
        <v>969</v>
      </c>
      <c r="I340" s="4" t="s">
        <v>718</v>
      </c>
      <c r="J340" s="4" t="s">
        <v>893</v>
      </c>
      <c r="K340" s="4" t="s">
        <v>1026</v>
      </c>
    </row>
    <row r="341" customFormat="false" ht="46.25" hidden="false" customHeight="false" outlineLevel="0" collapsed="false">
      <c r="A341" s="4" t="s">
        <v>1394</v>
      </c>
      <c r="B341" s="4" t="n">
        <v>100311</v>
      </c>
      <c r="C341" s="4" t="n">
        <v>142</v>
      </c>
      <c r="D341" s="4" t="n">
        <v>1862</v>
      </c>
      <c r="E341" s="4" t="n">
        <v>1962</v>
      </c>
      <c r="F341" s="4" t="s">
        <v>51</v>
      </c>
      <c r="G341" s="4" t="s">
        <v>52</v>
      </c>
      <c r="H341" s="4" t="s">
        <v>969</v>
      </c>
      <c r="I341" s="4" t="s">
        <v>747</v>
      </c>
      <c r="J341" s="4" t="s">
        <v>748</v>
      </c>
      <c r="K341" s="4" t="s">
        <v>1088</v>
      </c>
    </row>
    <row r="342" customFormat="false" ht="46.25" hidden="false" customHeight="false" outlineLevel="0" collapsed="false">
      <c r="A342" s="4" t="s">
        <v>1395</v>
      </c>
      <c r="B342" s="4" t="n">
        <v>100356</v>
      </c>
      <c r="C342" s="4" t="n">
        <v>142</v>
      </c>
      <c r="D342" s="4" t="n">
        <v>1893</v>
      </c>
      <c r="E342" s="4" t="n">
        <v>1962</v>
      </c>
      <c r="F342" s="4" t="s">
        <v>376</v>
      </c>
      <c r="G342" s="4" t="s">
        <v>377</v>
      </c>
      <c r="H342" s="4" t="s">
        <v>969</v>
      </c>
      <c r="I342" s="4" t="s">
        <v>747</v>
      </c>
      <c r="J342" s="4" t="s">
        <v>1139</v>
      </c>
      <c r="K342" s="4" t="s">
        <v>1140</v>
      </c>
    </row>
    <row r="343" customFormat="false" ht="46.25" hidden="false" customHeight="false" outlineLevel="0" collapsed="false">
      <c r="A343" s="4" t="s">
        <v>1396</v>
      </c>
      <c r="B343" s="4" t="n">
        <v>100312</v>
      </c>
      <c r="C343" s="4" t="n">
        <v>140</v>
      </c>
      <c r="D343" s="4" t="n">
        <v>1891</v>
      </c>
      <c r="E343" s="4" t="n">
        <v>1935</v>
      </c>
      <c r="F343" s="4" t="s">
        <v>434</v>
      </c>
      <c r="G343" s="4" t="s">
        <v>435</v>
      </c>
      <c r="H343" s="4" t="s">
        <v>969</v>
      </c>
      <c r="I343" s="4" t="s">
        <v>718</v>
      </c>
      <c r="J343" s="4" t="s">
        <v>1028</v>
      </c>
      <c r="K343" s="4" t="s">
        <v>1029</v>
      </c>
    </row>
    <row r="344" customFormat="false" ht="46.25" hidden="false" customHeight="false" outlineLevel="0" collapsed="false">
      <c r="A344" s="4" t="s">
        <v>1397</v>
      </c>
      <c r="B344" s="4" t="n">
        <v>100315</v>
      </c>
      <c r="C344" s="4" t="n">
        <v>138</v>
      </c>
      <c r="D344" s="4" t="n">
        <v>1897</v>
      </c>
      <c r="E344" s="4" t="n">
        <v>1927</v>
      </c>
      <c r="F344" s="4" t="s">
        <v>538</v>
      </c>
      <c r="G344" s="4" t="s">
        <v>539</v>
      </c>
      <c r="H344" s="4" t="s">
        <v>969</v>
      </c>
      <c r="I344" s="4" t="s">
        <v>747</v>
      </c>
      <c r="J344" s="4" t="s">
        <v>1047</v>
      </c>
      <c r="K344" s="4" t="s">
        <v>1048</v>
      </c>
    </row>
    <row r="345" customFormat="false" ht="57.45" hidden="false" customHeight="false" outlineLevel="0" collapsed="false">
      <c r="A345" s="4" t="s">
        <v>1398</v>
      </c>
      <c r="B345" s="4" t="n">
        <v>100316</v>
      </c>
      <c r="C345" s="4" t="n">
        <v>138</v>
      </c>
      <c r="D345" s="4" t="n">
        <v>1888</v>
      </c>
      <c r="E345" s="4" t="n">
        <v>1958</v>
      </c>
      <c r="F345" s="4" t="s">
        <v>298</v>
      </c>
      <c r="G345" s="4" t="s">
        <v>299</v>
      </c>
      <c r="H345" s="4" t="s">
        <v>969</v>
      </c>
      <c r="I345" s="4" t="s">
        <v>718</v>
      </c>
      <c r="J345" s="4" t="s">
        <v>857</v>
      </c>
      <c r="K345" s="4" t="s">
        <v>1209</v>
      </c>
    </row>
    <row r="346" customFormat="false" ht="46.25" hidden="false" customHeight="false" outlineLevel="0" collapsed="false">
      <c r="A346" s="4" t="s">
        <v>1399</v>
      </c>
      <c r="B346" s="4" t="n">
        <v>100320</v>
      </c>
      <c r="C346" s="4" t="n">
        <v>133</v>
      </c>
      <c r="D346" s="4" t="n">
        <v>1895</v>
      </c>
      <c r="E346" s="4" t="n">
        <v>1962</v>
      </c>
      <c r="F346" s="4" t="s">
        <v>51</v>
      </c>
      <c r="G346" s="4" t="s">
        <v>52</v>
      </c>
      <c r="H346" s="4" t="s">
        <v>969</v>
      </c>
      <c r="I346" s="4" t="s">
        <v>747</v>
      </c>
      <c r="J346" s="4" t="s">
        <v>826</v>
      </c>
      <c r="K346" s="4" t="s">
        <v>1383</v>
      </c>
    </row>
    <row r="347" customFormat="false" ht="46.25" hidden="false" customHeight="false" outlineLevel="0" collapsed="false">
      <c r="A347" s="4" t="s">
        <v>1400</v>
      </c>
      <c r="B347" s="4" t="n">
        <v>100321</v>
      </c>
      <c r="C347" s="4" t="n">
        <v>132</v>
      </c>
      <c r="D347" s="4" t="n">
        <v>1908</v>
      </c>
      <c r="E347" s="4" t="n">
        <v>1962</v>
      </c>
      <c r="F347" s="4" t="s">
        <v>387</v>
      </c>
      <c r="G347" s="4" t="s">
        <v>388</v>
      </c>
      <c r="H347" s="4" t="s">
        <v>969</v>
      </c>
      <c r="I347" s="4" t="s">
        <v>747</v>
      </c>
      <c r="J347" s="4" t="s">
        <v>962</v>
      </c>
      <c r="K347" s="4" t="s">
        <v>1079</v>
      </c>
    </row>
    <row r="348" customFormat="false" ht="46.25" hidden="false" customHeight="false" outlineLevel="0" collapsed="false">
      <c r="A348" s="4" t="s">
        <v>1401</v>
      </c>
      <c r="B348" s="4" t="n">
        <v>100322</v>
      </c>
      <c r="C348" s="4" t="n">
        <v>130</v>
      </c>
      <c r="D348" s="4" t="n">
        <v>1908</v>
      </c>
      <c r="E348" s="4" t="n">
        <v>1962</v>
      </c>
      <c r="F348" s="4" t="s">
        <v>397</v>
      </c>
      <c r="G348" s="4" t="s">
        <v>398</v>
      </c>
      <c r="H348" s="4" t="s">
        <v>969</v>
      </c>
      <c r="I348" s="4" t="s">
        <v>747</v>
      </c>
      <c r="J348" s="4" t="s">
        <v>962</v>
      </c>
      <c r="K348" s="4" t="s">
        <v>1197</v>
      </c>
    </row>
    <row r="349" customFormat="false" ht="46.25" hidden="false" customHeight="false" outlineLevel="0" collapsed="false">
      <c r="A349" s="4" t="s">
        <v>1402</v>
      </c>
      <c r="B349" s="4" t="n">
        <v>100323</v>
      </c>
      <c r="C349" s="4" t="n">
        <v>130</v>
      </c>
      <c r="D349" s="4" t="n">
        <v>1862</v>
      </c>
      <c r="E349" s="4" t="n">
        <v>1960</v>
      </c>
      <c r="F349" s="4" t="s">
        <v>68</v>
      </c>
      <c r="G349" s="4" t="s">
        <v>69</v>
      </c>
      <c r="H349" s="4" t="s">
        <v>969</v>
      </c>
      <c r="I349" s="4" t="s">
        <v>747</v>
      </c>
      <c r="J349" s="4" t="s">
        <v>742</v>
      </c>
      <c r="K349" s="4" t="s">
        <v>1169</v>
      </c>
    </row>
    <row r="350" customFormat="false" ht="46.25" hidden="false" customHeight="false" outlineLevel="0" collapsed="false">
      <c r="A350" s="4" t="s">
        <v>1403</v>
      </c>
      <c r="B350" s="4" t="n">
        <v>100010</v>
      </c>
      <c r="C350" s="4" t="n">
        <v>129</v>
      </c>
      <c r="D350" s="4" t="n">
        <v>1896</v>
      </c>
      <c r="E350" s="4" t="n">
        <v>1932</v>
      </c>
      <c r="F350" s="4" t="s">
        <v>660</v>
      </c>
      <c r="G350" s="4" t="s">
        <v>661</v>
      </c>
      <c r="H350" s="4" t="s">
        <v>969</v>
      </c>
      <c r="I350" s="4" t="s">
        <v>956</v>
      </c>
      <c r="J350" s="4" t="s">
        <v>998</v>
      </c>
      <c r="K350" s="4" t="s">
        <v>999</v>
      </c>
    </row>
    <row r="351" customFormat="false" ht="46.25" hidden="false" customHeight="false" outlineLevel="0" collapsed="false">
      <c r="A351" s="4" t="s">
        <v>1404</v>
      </c>
      <c r="B351" s="4" t="n">
        <v>100324</v>
      </c>
      <c r="C351" s="4" t="n">
        <v>129</v>
      </c>
      <c r="D351" s="4" t="n">
        <v>1897</v>
      </c>
      <c r="E351" s="4" t="n">
        <v>1960</v>
      </c>
      <c r="F351" s="4" t="s">
        <v>451</v>
      </c>
      <c r="G351" s="4" t="s">
        <v>453</v>
      </c>
      <c r="H351" s="4" t="s">
        <v>969</v>
      </c>
      <c r="I351" s="4" t="s">
        <v>718</v>
      </c>
      <c r="J351" s="4" t="s">
        <v>1193</v>
      </c>
      <c r="K351" s="4" t="s">
        <v>1194</v>
      </c>
    </row>
    <row r="352" customFormat="false" ht="46.25" hidden="false" customHeight="false" outlineLevel="0" collapsed="false">
      <c r="A352" s="4" t="s">
        <v>1405</v>
      </c>
      <c r="B352" s="4" t="n">
        <v>100326</v>
      </c>
      <c r="C352" s="4" t="n">
        <v>127</v>
      </c>
      <c r="D352" s="4" t="n">
        <v>1894</v>
      </c>
      <c r="E352" s="4" t="n">
        <v>1908</v>
      </c>
      <c r="F352" s="4" t="s">
        <v>478</v>
      </c>
      <c r="G352" s="4" t="s">
        <v>479</v>
      </c>
      <c r="H352" s="4" t="s">
        <v>969</v>
      </c>
      <c r="I352" s="4" t="s">
        <v>718</v>
      </c>
      <c r="J352" s="4" t="s">
        <v>1181</v>
      </c>
      <c r="K352" s="4" t="s">
        <v>1182</v>
      </c>
    </row>
    <row r="353" customFormat="false" ht="57.45" hidden="false" customHeight="false" outlineLevel="0" collapsed="false">
      <c r="A353" s="4" t="s">
        <v>1406</v>
      </c>
      <c r="B353" s="4" t="n">
        <v>100327</v>
      </c>
      <c r="C353" s="4" t="n">
        <v>125</v>
      </c>
      <c r="D353" s="4" t="n">
        <v>1875</v>
      </c>
      <c r="E353" s="4" t="n">
        <v>1933</v>
      </c>
      <c r="F353" s="4" t="s">
        <v>266</v>
      </c>
      <c r="G353" s="4" t="s">
        <v>288</v>
      </c>
      <c r="H353" s="4" t="s">
        <v>969</v>
      </c>
      <c r="I353" s="4" t="s">
        <v>718</v>
      </c>
      <c r="J353" s="4" t="s">
        <v>773</v>
      </c>
      <c r="K353" s="4" t="s">
        <v>1074</v>
      </c>
    </row>
    <row r="354" customFormat="false" ht="46.25" hidden="false" customHeight="false" outlineLevel="0" collapsed="false">
      <c r="A354" s="4" t="s">
        <v>1407</v>
      </c>
      <c r="B354" s="4" t="n">
        <v>100328</v>
      </c>
      <c r="C354" s="4" t="n">
        <v>124</v>
      </c>
      <c r="D354" s="4" t="n">
        <v>1872</v>
      </c>
      <c r="E354" s="4" t="n">
        <v>1933</v>
      </c>
      <c r="F354" s="4" t="s">
        <v>115</v>
      </c>
      <c r="G354" s="4" t="s">
        <v>116</v>
      </c>
      <c r="H354" s="4" t="s">
        <v>969</v>
      </c>
      <c r="I354" s="4" t="s">
        <v>718</v>
      </c>
      <c r="J354" s="4" t="s">
        <v>1145</v>
      </c>
      <c r="K354" s="4" t="s">
        <v>1146</v>
      </c>
    </row>
    <row r="355" customFormat="false" ht="46.25" hidden="false" customHeight="false" outlineLevel="0" collapsed="false">
      <c r="A355" s="4" t="s">
        <v>1408</v>
      </c>
      <c r="B355" s="4" t="n">
        <v>100437</v>
      </c>
      <c r="C355" s="4" t="n">
        <v>121</v>
      </c>
      <c r="D355" s="4" t="n">
        <v>1862</v>
      </c>
      <c r="E355" s="4" t="n">
        <v>1962</v>
      </c>
      <c r="F355" s="4" t="s">
        <v>51</v>
      </c>
      <c r="G355" s="4" t="s">
        <v>52</v>
      </c>
      <c r="H355" s="4" t="s">
        <v>969</v>
      </c>
      <c r="I355" s="4" t="s">
        <v>747</v>
      </c>
      <c r="J355" s="4" t="s">
        <v>748</v>
      </c>
      <c r="K355" s="4" t="s">
        <v>1088</v>
      </c>
    </row>
    <row r="356" customFormat="false" ht="57.45" hidden="false" customHeight="false" outlineLevel="0" collapsed="false">
      <c r="A356" s="4" t="s">
        <v>1409</v>
      </c>
      <c r="B356" s="4" t="n">
        <v>100330</v>
      </c>
      <c r="C356" s="4" t="n">
        <v>119</v>
      </c>
      <c r="D356" s="4" t="n">
        <v>1888</v>
      </c>
      <c r="E356" s="4" t="n">
        <v>1958</v>
      </c>
      <c r="F356" s="4" t="s">
        <v>298</v>
      </c>
      <c r="G356" s="4" t="s">
        <v>299</v>
      </c>
      <c r="H356" s="4" t="s">
        <v>969</v>
      </c>
      <c r="I356" s="4" t="s">
        <v>718</v>
      </c>
      <c r="J356" s="4" t="s">
        <v>857</v>
      </c>
      <c r="K356" s="4" t="s">
        <v>1209</v>
      </c>
    </row>
    <row r="357" customFormat="false" ht="46.25" hidden="false" customHeight="false" outlineLevel="0" collapsed="false">
      <c r="A357" s="4" t="s">
        <v>1410</v>
      </c>
      <c r="B357" s="4" t="n">
        <v>100331</v>
      </c>
      <c r="C357" s="4" t="n">
        <v>118</v>
      </c>
      <c r="D357" s="4" t="n">
        <v>1862</v>
      </c>
      <c r="E357" s="4" t="n">
        <v>1960</v>
      </c>
      <c r="F357" s="4" t="s">
        <v>68</v>
      </c>
      <c r="G357" s="4" t="s">
        <v>69</v>
      </c>
      <c r="H357" s="4" t="s">
        <v>969</v>
      </c>
      <c r="I357" s="4" t="s">
        <v>747</v>
      </c>
      <c r="J357" s="4" t="s">
        <v>742</v>
      </c>
      <c r="K357" s="4" t="s">
        <v>1169</v>
      </c>
    </row>
    <row r="358" customFormat="false" ht="46.25" hidden="false" customHeight="false" outlineLevel="0" collapsed="false">
      <c r="A358" s="4" t="s">
        <v>1411</v>
      </c>
      <c r="B358" s="4" t="n">
        <v>100332</v>
      </c>
      <c r="C358" s="4" t="n">
        <v>118</v>
      </c>
      <c r="D358" s="4" t="n">
        <v>1872</v>
      </c>
      <c r="E358" s="4" t="n">
        <v>1933</v>
      </c>
      <c r="F358" s="4" t="s">
        <v>115</v>
      </c>
      <c r="G358" s="4" t="s">
        <v>116</v>
      </c>
      <c r="H358" s="4" t="s">
        <v>969</v>
      </c>
      <c r="I358" s="4" t="s">
        <v>718</v>
      </c>
      <c r="J358" s="4" t="s">
        <v>1145</v>
      </c>
      <c r="K358" s="4" t="s">
        <v>1146</v>
      </c>
    </row>
    <row r="359" customFormat="false" ht="46.25" hidden="false" customHeight="false" outlineLevel="0" collapsed="false">
      <c r="A359" s="4" t="s">
        <v>1412</v>
      </c>
      <c r="B359" s="4" t="n">
        <v>100336</v>
      </c>
      <c r="C359" s="4" t="n">
        <v>110</v>
      </c>
      <c r="D359" s="4" t="n">
        <v>1916</v>
      </c>
      <c r="E359" s="4" t="n">
        <v>1958</v>
      </c>
      <c r="F359" s="4" t="s">
        <v>489</v>
      </c>
      <c r="G359" s="4" t="s">
        <v>490</v>
      </c>
      <c r="H359" s="4" t="s">
        <v>969</v>
      </c>
      <c r="I359" s="4" t="s">
        <v>747</v>
      </c>
      <c r="J359" s="4" t="s">
        <v>1111</v>
      </c>
      <c r="K359" s="4" t="s">
        <v>1112</v>
      </c>
    </row>
    <row r="360" customFormat="false" ht="46.25" hidden="false" customHeight="false" outlineLevel="0" collapsed="false">
      <c r="A360" s="4" t="s">
        <v>1413</v>
      </c>
      <c r="B360" s="4" t="n">
        <v>100337</v>
      </c>
      <c r="C360" s="4" t="n">
        <v>110</v>
      </c>
      <c r="D360" s="4" t="n">
        <v>1916</v>
      </c>
      <c r="E360" s="4" t="n">
        <v>1958</v>
      </c>
      <c r="F360" s="4" t="s">
        <v>489</v>
      </c>
      <c r="G360" s="4" t="s">
        <v>490</v>
      </c>
      <c r="H360" s="4" t="s">
        <v>969</v>
      </c>
      <c r="I360" s="4" t="s">
        <v>747</v>
      </c>
      <c r="J360" s="4" t="s">
        <v>1111</v>
      </c>
      <c r="K360" s="4" t="s">
        <v>1112</v>
      </c>
    </row>
    <row r="361" customFormat="false" ht="57.45" hidden="false" customHeight="false" outlineLevel="0" collapsed="false">
      <c r="A361" s="4" t="s">
        <v>1414</v>
      </c>
      <c r="B361" s="4" t="n">
        <v>100338</v>
      </c>
      <c r="C361" s="4" t="n">
        <v>109</v>
      </c>
      <c r="D361" s="4" t="n">
        <v>1908</v>
      </c>
      <c r="E361" s="4" t="n">
        <v>1949</v>
      </c>
      <c r="F361" s="4" t="s">
        <v>509</v>
      </c>
      <c r="G361" s="4" t="s">
        <v>510</v>
      </c>
      <c r="H361" s="4" t="s">
        <v>969</v>
      </c>
      <c r="I361" s="4" t="s">
        <v>718</v>
      </c>
      <c r="J361" s="4" t="s">
        <v>1354</v>
      </c>
      <c r="K361" s="4" t="s">
        <v>1355</v>
      </c>
    </row>
    <row r="362" customFormat="false" ht="46.25" hidden="false" customHeight="false" outlineLevel="0" collapsed="false">
      <c r="A362" s="4" t="s">
        <v>1415</v>
      </c>
      <c r="B362" s="4" t="n">
        <v>100339</v>
      </c>
      <c r="C362" s="4" t="n">
        <v>109</v>
      </c>
      <c r="D362" s="4" t="n">
        <v>1873</v>
      </c>
      <c r="E362" s="4" t="n">
        <v>1896</v>
      </c>
      <c r="F362" s="4" t="s">
        <v>128</v>
      </c>
      <c r="G362" s="4" t="s">
        <v>129</v>
      </c>
      <c r="H362" s="4" t="s">
        <v>969</v>
      </c>
      <c r="I362" s="4" t="s">
        <v>718</v>
      </c>
      <c r="J362" s="4" t="s">
        <v>1416</v>
      </c>
      <c r="K362" s="4" t="s">
        <v>1417</v>
      </c>
    </row>
    <row r="363" customFormat="false" ht="46.25" hidden="false" customHeight="false" outlineLevel="0" collapsed="false">
      <c r="A363" s="4" t="s">
        <v>1418</v>
      </c>
      <c r="B363" s="4" t="n">
        <v>100341</v>
      </c>
      <c r="C363" s="4" t="n">
        <v>105</v>
      </c>
      <c r="D363" s="4" t="n">
        <v>1908</v>
      </c>
      <c r="E363" s="4" t="n">
        <v>1962</v>
      </c>
      <c r="F363" s="4" t="s">
        <v>397</v>
      </c>
      <c r="G363" s="4" t="s">
        <v>398</v>
      </c>
      <c r="H363" s="4" t="s">
        <v>969</v>
      </c>
      <c r="I363" s="4" t="s">
        <v>747</v>
      </c>
      <c r="J363" s="4" t="s">
        <v>962</v>
      </c>
      <c r="K363" s="4" t="s">
        <v>1197</v>
      </c>
    </row>
    <row r="364" customFormat="false" ht="57.45" hidden="false" customHeight="false" outlineLevel="0" collapsed="false">
      <c r="A364" s="4" t="s">
        <v>1419</v>
      </c>
      <c r="B364" s="4" t="n">
        <v>100342</v>
      </c>
      <c r="C364" s="4" t="n">
        <v>105</v>
      </c>
      <c r="D364" s="4" t="n">
        <v>1875</v>
      </c>
      <c r="E364" s="4" t="n">
        <v>1900</v>
      </c>
      <c r="F364" s="4" t="s">
        <v>244</v>
      </c>
      <c r="G364" s="4" t="s">
        <v>245</v>
      </c>
      <c r="H364" s="4" t="s">
        <v>969</v>
      </c>
      <c r="I364" s="4" t="s">
        <v>718</v>
      </c>
      <c r="J364" s="4" t="s">
        <v>1067</v>
      </c>
      <c r="K364" s="4" t="s">
        <v>1068</v>
      </c>
    </row>
    <row r="365" customFormat="false" ht="57.45" hidden="false" customHeight="false" outlineLevel="0" collapsed="false">
      <c r="A365" s="4" t="s">
        <v>1420</v>
      </c>
      <c r="B365" s="4" t="n">
        <v>100307</v>
      </c>
      <c r="C365" s="4" t="n">
        <v>102</v>
      </c>
      <c r="D365" s="4" t="n">
        <v>1891</v>
      </c>
      <c r="E365" s="4" t="n">
        <v>1958</v>
      </c>
      <c r="F365" s="4" t="s">
        <v>332</v>
      </c>
      <c r="G365" s="4" t="s">
        <v>333</v>
      </c>
      <c r="H365" s="4" t="s">
        <v>969</v>
      </c>
      <c r="I365" s="4" t="s">
        <v>718</v>
      </c>
      <c r="J365" s="4" t="s">
        <v>1200</v>
      </c>
      <c r="K365" s="4" t="s">
        <v>1201</v>
      </c>
    </row>
    <row r="366" customFormat="false" ht="46.25" hidden="false" customHeight="false" outlineLevel="0" collapsed="false">
      <c r="A366" s="4" t="s">
        <v>1421</v>
      </c>
      <c r="B366" s="4" t="n">
        <v>100343</v>
      </c>
      <c r="C366" s="4" t="n">
        <v>102</v>
      </c>
      <c r="D366" s="4" t="n">
        <v>1872</v>
      </c>
      <c r="E366" s="4" t="n">
        <v>1933</v>
      </c>
      <c r="F366" s="4" t="s">
        <v>115</v>
      </c>
      <c r="G366" s="4" t="s">
        <v>116</v>
      </c>
      <c r="H366" s="4" t="s">
        <v>969</v>
      </c>
      <c r="I366" s="4" t="s">
        <v>718</v>
      </c>
      <c r="J366" s="4" t="s">
        <v>1145</v>
      </c>
      <c r="K366" s="4" t="s">
        <v>1146</v>
      </c>
    </row>
    <row r="367" customFormat="false" ht="46.25" hidden="false" customHeight="false" outlineLevel="0" collapsed="false">
      <c r="A367" s="4" t="s">
        <v>1422</v>
      </c>
      <c r="B367" s="4" t="n">
        <v>100344</v>
      </c>
      <c r="C367" s="4" t="n">
        <v>102</v>
      </c>
      <c r="D367" s="4" t="n">
        <v>1862</v>
      </c>
      <c r="E367" s="4" t="n">
        <v>1960</v>
      </c>
      <c r="F367" s="4" t="s">
        <v>68</v>
      </c>
      <c r="G367" s="4" t="s">
        <v>69</v>
      </c>
      <c r="H367" s="4" t="s">
        <v>969</v>
      </c>
      <c r="I367" s="4" t="s">
        <v>747</v>
      </c>
      <c r="J367" s="4" t="s">
        <v>742</v>
      </c>
      <c r="K367" s="4" t="s">
        <v>1169</v>
      </c>
    </row>
    <row r="368" customFormat="false" ht="57.45" hidden="false" customHeight="false" outlineLevel="0" collapsed="false">
      <c r="A368" s="4" t="s">
        <v>1423</v>
      </c>
      <c r="B368" s="4" t="n">
        <v>100432</v>
      </c>
      <c r="C368" s="4" t="n">
        <v>100</v>
      </c>
      <c r="D368" s="4" t="n">
        <v>1875</v>
      </c>
      <c r="E368" s="4" t="n">
        <v>1933</v>
      </c>
      <c r="F368" s="4" t="s">
        <v>266</v>
      </c>
      <c r="G368" s="4" t="s">
        <v>288</v>
      </c>
      <c r="H368" s="4" t="s">
        <v>969</v>
      </c>
      <c r="I368" s="4" t="s">
        <v>718</v>
      </c>
      <c r="J368" s="4" t="s">
        <v>773</v>
      </c>
      <c r="K368" s="4" t="s">
        <v>1074</v>
      </c>
    </row>
    <row r="369" customFormat="false" ht="46.25" hidden="false" customHeight="false" outlineLevel="0" collapsed="false">
      <c r="A369" s="4" t="s">
        <v>1424</v>
      </c>
      <c r="B369" s="4" t="n">
        <v>100348</v>
      </c>
      <c r="C369" s="4" t="n">
        <v>94</v>
      </c>
      <c r="D369" s="4" t="n">
        <v>1862</v>
      </c>
      <c r="E369" s="4" t="n">
        <v>1960</v>
      </c>
      <c r="F369" s="4" t="s">
        <v>68</v>
      </c>
      <c r="G369" s="4" t="s">
        <v>69</v>
      </c>
      <c r="H369" s="4" t="s">
        <v>969</v>
      </c>
      <c r="I369" s="4" t="s">
        <v>747</v>
      </c>
      <c r="J369" s="4" t="s">
        <v>742</v>
      </c>
      <c r="K369" s="4" t="s">
        <v>1169</v>
      </c>
    </row>
    <row r="370" customFormat="false" ht="46.25" hidden="false" customHeight="false" outlineLevel="0" collapsed="false">
      <c r="A370" s="4" t="s">
        <v>1425</v>
      </c>
      <c r="B370" s="4" t="n">
        <v>100349</v>
      </c>
      <c r="C370" s="4" t="n">
        <v>93</v>
      </c>
      <c r="D370" s="4" t="n">
        <v>1893</v>
      </c>
      <c r="E370" s="4" t="n">
        <v>1962</v>
      </c>
      <c r="F370" s="4" t="s">
        <v>376</v>
      </c>
      <c r="G370" s="4" t="s">
        <v>377</v>
      </c>
      <c r="H370" s="4" t="s">
        <v>969</v>
      </c>
      <c r="I370" s="4" t="s">
        <v>747</v>
      </c>
      <c r="J370" s="4" t="s">
        <v>1139</v>
      </c>
      <c r="K370" s="4" t="s">
        <v>1140</v>
      </c>
    </row>
    <row r="371" customFormat="false" ht="57.45" hidden="false" customHeight="false" outlineLevel="0" collapsed="false">
      <c r="A371" s="4" t="s">
        <v>1426</v>
      </c>
      <c r="B371" s="4" t="n">
        <v>100351</v>
      </c>
      <c r="C371" s="4" t="n">
        <v>92</v>
      </c>
      <c r="D371" s="4" t="n">
        <v>1907</v>
      </c>
      <c r="E371" s="4" t="n">
        <v>1932</v>
      </c>
      <c r="F371" s="4" t="s">
        <v>650</v>
      </c>
      <c r="G371" s="4" t="s">
        <v>676</v>
      </c>
      <c r="H371" s="4" t="s">
        <v>969</v>
      </c>
      <c r="I371" s="4" t="s">
        <v>956</v>
      </c>
      <c r="J371" s="4" t="s">
        <v>1035</v>
      </c>
      <c r="K371" s="4" t="s">
        <v>1036</v>
      </c>
    </row>
    <row r="372" customFormat="false" ht="46.25" hidden="false" customHeight="false" outlineLevel="0" collapsed="false">
      <c r="A372" s="4" t="s">
        <v>1427</v>
      </c>
      <c r="B372" s="4" t="n">
        <v>100352</v>
      </c>
      <c r="C372" s="4" t="n">
        <v>91</v>
      </c>
      <c r="D372" s="4" t="n">
        <v>1896</v>
      </c>
      <c r="E372" s="4" t="n">
        <v>1932</v>
      </c>
      <c r="F372" s="4" t="s">
        <v>629</v>
      </c>
      <c r="G372" s="4" t="s">
        <v>630</v>
      </c>
      <c r="H372" s="4" t="s">
        <v>969</v>
      </c>
      <c r="I372" s="4" t="s">
        <v>956</v>
      </c>
      <c r="J372" s="4" t="s">
        <v>998</v>
      </c>
      <c r="K372" s="4" t="s">
        <v>1004</v>
      </c>
    </row>
    <row r="373" customFormat="false" ht="57.45" hidden="false" customHeight="false" outlineLevel="0" collapsed="false">
      <c r="A373" s="4" t="s">
        <v>1428</v>
      </c>
      <c r="B373" s="4" t="n">
        <v>100357</v>
      </c>
      <c r="C373" s="4" t="n">
        <v>88</v>
      </c>
      <c r="D373" s="4" t="n">
        <v>1888</v>
      </c>
      <c r="E373" s="4" t="n">
        <v>1935</v>
      </c>
      <c r="F373" s="4" t="s">
        <v>244</v>
      </c>
      <c r="G373" s="4" t="s">
        <v>245</v>
      </c>
      <c r="H373" s="4" t="s">
        <v>969</v>
      </c>
      <c r="I373" s="4" t="s">
        <v>718</v>
      </c>
      <c r="J373" s="4" t="s">
        <v>1058</v>
      </c>
      <c r="K373" s="4" t="s">
        <v>1059</v>
      </c>
    </row>
    <row r="374" customFormat="false" ht="46.25" hidden="false" customHeight="false" outlineLevel="0" collapsed="false">
      <c r="A374" s="4" t="s">
        <v>1429</v>
      </c>
      <c r="B374" s="4" t="n">
        <v>100358</v>
      </c>
      <c r="C374" s="4" t="n">
        <v>87</v>
      </c>
      <c r="D374" s="4" t="n">
        <v>1872</v>
      </c>
      <c r="E374" s="4" t="n">
        <v>1962</v>
      </c>
      <c r="F374" s="4" t="s">
        <v>152</v>
      </c>
      <c r="G374" s="4" t="s">
        <v>153</v>
      </c>
      <c r="H374" s="4" t="s">
        <v>969</v>
      </c>
      <c r="I374" s="4" t="s">
        <v>718</v>
      </c>
      <c r="J374" s="4" t="s">
        <v>802</v>
      </c>
      <c r="K374" s="4" t="s">
        <v>1136</v>
      </c>
    </row>
    <row r="375" customFormat="false" ht="46.25" hidden="false" customHeight="false" outlineLevel="0" collapsed="false">
      <c r="A375" s="4" t="s">
        <v>1430</v>
      </c>
      <c r="B375" s="4" t="n">
        <v>100359</v>
      </c>
      <c r="C375" s="4" t="n">
        <v>86</v>
      </c>
      <c r="D375" s="4" t="n">
        <v>1862</v>
      </c>
      <c r="E375" s="4" t="n">
        <v>1962</v>
      </c>
      <c r="F375" s="4" t="s">
        <v>81</v>
      </c>
      <c r="G375" s="4" t="s">
        <v>82</v>
      </c>
      <c r="H375" s="4" t="s">
        <v>969</v>
      </c>
      <c r="I375" s="4" t="s">
        <v>747</v>
      </c>
      <c r="J375" s="4" t="s">
        <v>748</v>
      </c>
      <c r="K375" s="4" t="s">
        <v>1065</v>
      </c>
    </row>
    <row r="376" customFormat="false" ht="46.25" hidden="false" customHeight="false" outlineLevel="0" collapsed="false">
      <c r="A376" s="4" t="s">
        <v>1431</v>
      </c>
      <c r="B376" s="4" t="n">
        <v>100426</v>
      </c>
      <c r="C376" s="4" t="n">
        <v>85</v>
      </c>
      <c r="D376" s="4" t="n">
        <v>1901</v>
      </c>
      <c r="E376" s="4" t="n">
        <v>1962</v>
      </c>
      <c r="F376" s="4" t="s">
        <v>51</v>
      </c>
      <c r="G376" s="4" t="s">
        <v>52</v>
      </c>
      <c r="H376" s="4" t="s">
        <v>969</v>
      </c>
      <c r="I376" s="4" t="s">
        <v>747</v>
      </c>
      <c r="J376" s="4" t="s">
        <v>1177</v>
      </c>
      <c r="K376" s="4" t="s">
        <v>1178</v>
      </c>
    </row>
    <row r="377" customFormat="false" ht="46.25" hidden="false" customHeight="false" outlineLevel="0" collapsed="false">
      <c r="A377" s="4" t="s">
        <v>1432</v>
      </c>
      <c r="B377" s="4" t="n">
        <v>100360</v>
      </c>
      <c r="C377" s="4" t="n">
        <v>82</v>
      </c>
      <c r="D377" s="4" t="n">
        <v>1896</v>
      </c>
      <c r="E377" s="4" t="n">
        <v>1902</v>
      </c>
      <c r="F377" s="4" t="s">
        <v>443</v>
      </c>
      <c r="G377" s="4" t="s">
        <v>444</v>
      </c>
      <c r="H377" s="4" t="s">
        <v>969</v>
      </c>
      <c r="I377" s="4" t="s">
        <v>994</v>
      </c>
      <c r="J377" s="4" t="s">
        <v>1076</v>
      </c>
      <c r="K377" s="4" t="s">
        <v>1077</v>
      </c>
    </row>
    <row r="378" customFormat="false" ht="57.45" hidden="false" customHeight="false" outlineLevel="0" collapsed="false">
      <c r="A378" s="4" t="s">
        <v>1433</v>
      </c>
      <c r="B378" s="4" t="n">
        <v>100361</v>
      </c>
      <c r="C378" s="4" t="n">
        <v>81</v>
      </c>
      <c r="D378" s="4" t="n">
        <v>1892</v>
      </c>
      <c r="E378" s="4" t="n">
        <v>1932</v>
      </c>
      <c r="F378" s="4" t="s">
        <v>652</v>
      </c>
      <c r="G378" s="4" t="s">
        <v>653</v>
      </c>
      <c r="H378" s="4" t="s">
        <v>969</v>
      </c>
      <c r="I378" s="4" t="s">
        <v>956</v>
      </c>
      <c r="J378" s="4" t="s">
        <v>1050</v>
      </c>
      <c r="K378" s="4" t="s">
        <v>1051</v>
      </c>
    </row>
    <row r="379" customFormat="false" ht="46.25" hidden="false" customHeight="false" outlineLevel="0" collapsed="false">
      <c r="A379" s="4" t="s">
        <v>1434</v>
      </c>
      <c r="B379" s="4" t="n">
        <v>100364</v>
      </c>
      <c r="C379" s="4" t="n">
        <v>76</v>
      </c>
      <c r="D379" s="4" t="n">
        <v>1890</v>
      </c>
      <c r="E379" s="4" t="n">
        <v>1958</v>
      </c>
      <c r="F379" s="4" t="s">
        <v>322</v>
      </c>
      <c r="G379" s="4" t="s">
        <v>323</v>
      </c>
      <c r="H379" s="4" t="s">
        <v>969</v>
      </c>
      <c r="I379" s="4" t="s">
        <v>718</v>
      </c>
      <c r="J379" s="4" t="s">
        <v>1151</v>
      </c>
      <c r="K379" s="4" t="s">
        <v>1152</v>
      </c>
    </row>
    <row r="380" customFormat="false" ht="46.25" hidden="false" customHeight="false" outlineLevel="0" collapsed="false">
      <c r="A380" s="4" t="s">
        <v>1435</v>
      </c>
      <c r="B380" s="4" t="n">
        <v>100248</v>
      </c>
      <c r="C380" s="4" t="n">
        <v>74</v>
      </c>
      <c r="D380" s="4" t="n">
        <v>1895</v>
      </c>
      <c r="E380" s="4" t="n">
        <v>1962</v>
      </c>
      <c r="F380" s="4" t="s">
        <v>51</v>
      </c>
      <c r="G380" s="4" t="s">
        <v>52</v>
      </c>
      <c r="H380" s="4" t="s">
        <v>969</v>
      </c>
      <c r="I380" s="4" t="s">
        <v>747</v>
      </c>
      <c r="J380" s="4" t="s">
        <v>826</v>
      </c>
      <c r="K380" s="4" t="s">
        <v>1383</v>
      </c>
    </row>
    <row r="381" customFormat="false" ht="57.45" hidden="false" customHeight="false" outlineLevel="0" collapsed="false">
      <c r="A381" s="4" t="s">
        <v>1436</v>
      </c>
      <c r="B381" s="4" t="n">
        <v>100368</v>
      </c>
      <c r="C381" s="4" t="n">
        <v>69</v>
      </c>
      <c r="D381" s="4" t="n">
        <v>1906</v>
      </c>
      <c r="E381" s="4" t="n">
        <v>1939</v>
      </c>
      <c r="F381" s="4" t="s">
        <v>669</v>
      </c>
      <c r="G381" s="4" t="s">
        <v>670</v>
      </c>
      <c r="H381" s="4" t="s">
        <v>969</v>
      </c>
      <c r="I381" s="4" t="s">
        <v>956</v>
      </c>
      <c r="J381" s="4" t="s">
        <v>1061</v>
      </c>
      <c r="K381" s="4" t="s">
        <v>1062</v>
      </c>
    </row>
    <row r="382" customFormat="false" ht="46.25" hidden="false" customHeight="false" outlineLevel="0" collapsed="false">
      <c r="A382" s="4" t="s">
        <v>1437</v>
      </c>
      <c r="B382" s="4" t="n">
        <v>100181</v>
      </c>
      <c r="C382" s="4" t="n">
        <v>67</v>
      </c>
      <c r="D382" s="4" t="n">
        <v>1908</v>
      </c>
      <c r="E382" s="4" t="n">
        <v>1962</v>
      </c>
      <c r="F382" s="4" t="s">
        <v>387</v>
      </c>
      <c r="G382" s="4" t="s">
        <v>388</v>
      </c>
      <c r="H382" s="4" t="s">
        <v>969</v>
      </c>
      <c r="I382" s="4" t="s">
        <v>747</v>
      </c>
      <c r="J382" s="4" t="s">
        <v>962</v>
      </c>
      <c r="K382" s="4" t="s">
        <v>1079</v>
      </c>
    </row>
    <row r="383" customFormat="false" ht="57.45" hidden="false" customHeight="false" outlineLevel="0" collapsed="false">
      <c r="A383" s="4" t="s">
        <v>1438</v>
      </c>
      <c r="B383" s="4" t="n">
        <v>100369</v>
      </c>
      <c r="C383" s="4" t="n">
        <v>66</v>
      </c>
      <c r="D383" s="4" t="n">
        <v>1906</v>
      </c>
      <c r="E383" s="4" t="n">
        <v>1939</v>
      </c>
      <c r="F383" s="4" t="s">
        <v>669</v>
      </c>
      <c r="G383" s="4" t="s">
        <v>670</v>
      </c>
      <c r="H383" s="4" t="s">
        <v>969</v>
      </c>
      <c r="I383" s="4" t="s">
        <v>956</v>
      </c>
      <c r="J383" s="4" t="s">
        <v>1061</v>
      </c>
      <c r="K383" s="4" t="s">
        <v>1062</v>
      </c>
    </row>
    <row r="384" customFormat="false" ht="57.45" hidden="false" customHeight="false" outlineLevel="0" collapsed="false">
      <c r="A384" s="4" t="s">
        <v>1439</v>
      </c>
      <c r="B384" s="4" t="n">
        <v>100370</v>
      </c>
      <c r="C384" s="4" t="n">
        <v>64</v>
      </c>
      <c r="D384" s="4" t="n">
        <v>1875</v>
      </c>
      <c r="E384" s="4" t="n">
        <v>1933</v>
      </c>
      <c r="F384" s="4" t="s">
        <v>266</v>
      </c>
      <c r="G384" s="4" t="s">
        <v>288</v>
      </c>
      <c r="H384" s="4" t="s">
        <v>969</v>
      </c>
      <c r="I384" s="4" t="s">
        <v>718</v>
      </c>
      <c r="J384" s="4" t="s">
        <v>773</v>
      </c>
      <c r="K384" s="4" t="s">
        <v>1074</v>
      </c>
    </row>
    <row r="385" customFormat="false" ht="46.25" hidden="false" customHeight="false" outlineLevel="0" collapsed="false">
      <c r="A385" s="4" t="s">
        <v>1440</v>
      </c>
      <c r="B385" s="4" t="n">
        <v>100373</v>
      </c>
      <c r="C385" s="4" t="n">
        <v>61</v>
      </c>
      <c r="D385" s="4" t="n">
        <v>1896</v>
      </c>
      <c r="E385" s="4" t="n">
        <v>1902</v>
      </c>
      <c r="F385" s="4" t="s">
        <v>443</v>
      </c>
      <c r="G385" s="4" t="s">
        <v>444</v>
      </c>
      <c r="H385" s="4" t="s">
        <v>969</v>
      </c>
      <c r="I385" s="4" t="s">
        <v>994</v>
      </c>
      <c r="J385" s="4" t="s">
        <v>1076</v>
      </c>
      <c r="K385" s="4" t="s">
        <v>1077</v>
      </c>
    </row>
    <row r="386" customFormat="false" ht="46.25" hidden="false" customHeight="false" outlineLevel="0" collapsed="false">
      <c r="A386" s="4" t="s">
        <v>1441</v>
      </c>
      <c r="B386" s="4" t="n">
        <v>100355</v>
      </c>
      <c r="C386" s="4" t="n">
        <v>60</v>
      </c>
      <c r="D386" s="4" t="n">
        <v>1862</v>
      </c>
      <c r="E386" s="4" t="n">
        <v>1960</v>
      </c>
      <c r="F386" s="4" t="s">
        <v>68</v>
      </c>
      <c r="G386" s="4" t="s">
        <v>69</v>
      </c>
      <c r="H386" s="4" t="s">
        <v>969</v>
      </c>
      <c r="I386" s="4" t="s">
        <v>747</v>
      </c>
      <c r="J386" s="4" t="s">
        <v>742</v>
      </c>
      <c r="K386" s="4" t="s">
        <v>1169</v>
      </c>
    </row>
    <row r="387" customFormat="false" ht="57.45" hidden="false" customHeight="false" outlineLevel="0" collapsed="false">
      <c r="A387" s="4" t="s">
        <v>1442</v>
      </c>
      <c r="B387" s="4" t="n">
        <v>100362</v>
      </c>
      <c r="C387" s="4" t="n">
        <v>58</v>
      </c>
      <c r="D387" s="4" t="n">
        <v>1875</v>
      </c>
      <c r="E387" s="4" t="n">
        <v>1933</v>
      </c>
      <c r="F387" s="4" t="s">
        <v>266</v>
      </c>
      <c r="G387" s="4" t="s">
        <v>288</v>
      </c>
      <c r="H387" s="4" t="s">
        <v>969</v>
      </c>
      <c r="I387" s="4" t="s">
        <v>718</v>
      </c>
      <c r="J387" s="4" t="s">
        <v>773</v>
      </c>
      <c r="K387" s="4" t="s">
        <v>1074</v>
      </c>
    </row>
    <row r="388" customFormat="false" ht="46.25" hidden="false" customHeight="false" outlineLevel="0" collapsed="false">
      <c r="A388" s="4" t="s">
        <v>1443</v>
      </c>
      <c r="B388" s="4" t="n">
        <v>100375</v>
      </c>
      <c r="C388" s="4" t="n">
        <v>57</v>
      </c>
      <c r="D388" s="4" t="n">
        <v>1923</v>
      </c>
      <c r="E388" s="4" t="n">
        <v>1956</v>
      </c>
      <c r="F388" s="4" t="s">
        <v>603</v>
      </c>
      <c r="G388" s="4" t="s">
        <v>604</v>
      </c>
      <c r="H388" s="4" t="s">
        <v>969</v>
      </c>
      <c r="I388" s="4" t="s">
        <v>747</v>
      </c>
      <c r="J388" s="4" t="s">
        <v>1212</v>
      </c>
      <c r="K388" s="4" t="s">
        <v>1213</v>
      </c>
    </row>
    <row r="389" customFormat="false" ht="46.25" hidden="false" customHeight="false" outlineLevel="0" collapsed="false">
      <c r="A389" s="4" t="s">
        <v>1444</v>
      </c>
      <c r="B389" s="4" t="n">
        <v>100377</v>
      </c>
      <c r="C389" s="4" t="n">
        <v>54</v>
      </c>
      <c r="D389" s="4" t="n">
        <v>1896</v>
      </c>
      <c r="E389" s="4" t="n">
        <v>1921</v>
      </c>
      <c r="F389" s="4" t="s">
        <v>642</v>
      </c>
      <c r="G389" s="4" t="s">
        <v>643</v>
      </c>
      <c r="H389" s="4" t="s">
        <v>969</v>
      </c>
      <c r="I389" s="4" t="s">
        <v>956</v>
      </c>
      <c r="J389" s="4" t="s">
        <v>1012</v>
      </c>
      <c r="K389" s="4" t="s">
        <v>1013</v>
      </c>
    </row>
    <row r="390" customFormat="false" ht="57.45" hidden="false" customHeight="false" outlineLevel="0" collapsed="false">
      <c r="A390" s="4" t="s">
        <v>1445</v>
      </c>
      <c r="B390" s="4" t="n">
        <v>100383</v>
      </c>
      <c r="C390" s="4" t="n">
        <v>48</v>
      </c>
      <c r="D390" s="4" t="n">
        <v>1908</v>
      </c>
      <c r="E390" s="4" t="n">
        <v>1949</v>
      </c>
      <c r="F390" s="4" t="s">
        <v>509</v>
      </c>
      <c r="G390" s="4" t="s">
        <v>510</v>
      </c>
      <c r="H390" s="4" t="s">
        <v>969</v>
      </c>
      <c r="I390" s="4" t="s">
        <v>718</v>
      </c>
      <c r="J390" s="4" t="s">
        <v>1354</v>
      </c>
      <c r="K390" s="4" t="s">
        <v>1355</v>
      </c>
    </row>
    <row r="391" customFormat="false" ht="57.45" hidden="false" customHeight="false" outlineLevel="0" collapsed="false">
      <c r="A391" s="4" t="s">
        <v>1446</v>
      </c>
      <c r="B391" s="4" t="n">
        <v>100387</v>
      </c>
      <c r="C391" s="4" t="n">
        <v>47</v>
      </c>
      <c r="D391" s="4" t="n">
        <v>1906</v>
      </c>
      <c r="E391" s="4" t="n">
        <v>1939</v>
      </c>
      <c r="F391" s="4" t="s">
        <v>669</v>
      </c>
      <c r="G391" s="4" t="s">
        <v>670</v>
      </c>
      <c r="H391" s="4" t="s">
        <v>969</v>
      </c>
      <c r="I391" s="4" t="s">
        <v>956</v>
      </c>
      <c r="J391" s="4" t="s">
        <v>1061</v>
      </c>
      <c r="K391" s="4" t="s">
        <v>1062</v>
      </c>
    </row>
    <row r="392" customFormat="false" ht="46.25" hidden="false" customHeight="false" outlineLevel="0" collapsed="false">
      <c r="A392" s="4" t="s">
        <v>1447</v>
      </c>
      <c r="B392" s="4" t="n">
        <v>100388</v>
      </c>
      <c r="C392" s="4" t="n">
        <v>46</v>
      </c>
      <c r="D392" s="4" t="n">
        <v>1894</v>
      </c>
      <c r="E392" s="4" t="n">
        <v>1908</v>
      </c>
      <c r="F392" s="4" t="s">
        <v>478</v>
      </c>
      <c r="G392" s="4" t="s">
        <v>479</v>
      </c>
      <c r="H392" s="4" t="s">
        <v>969</v>
      </c>
      <c r="I392" s="4" t="s">
        <v>718</v>
      </c>
      <c r="J392" s="4" t="s">
        <v>1096</v>
      </c>
      <c r="K392" s="4" t="s">
        <v>1182</v>
      </c>
    </row>
    <row r="393" customFormat="false" ht="46.25" hidden="false" customHeight="false" outlineLevel="0" collapsed="false">
      <c r="A393" s="4" t="s">
        <v>1448</v>
      </c>
      <c r="B393" s="4" t="n">
        <v>100389</v>
      </c>
      <c r="C393" s="4" t="n">
        <v>45</v>
      </c>
      <c r="D393" s="4" t="n">
        <v>1897</v>
      </c>
      <c r="E393" s="4" t="n">
        <v>1960</v>
      </c>
      <c r="F393" s="4" t="s">
        <v>451</v>
      </c>
      <c r="G393" s="4" t="s">
        <v>453</v>
      </c>
      <c r="H393" s="4" t="s">
        <v>969</v>
      </c>
      <c r="I393" s="4" t="s">
        <v>718</v>
      </c>
      <c r="J393" s="4" t="s">
        <v>1193</v>
      </c>
      <c r="K393" s="4" t="s">
        <v>1194</v>
      </c>
    </row>
    <row r="394" customFormat="false" ht="46.25" hidden="false" customHeight="false" outlineLevel="0" collapsed="false">
      <c r="A394" s="4" t="s">
        <v>1449</v>
      </c>
      <c r="B394" s="4" t="n">
        <v>100392</v>
      </c>
      <c r="C394" s="4" t="n">
        <v>44</v>
      </c>
      <c r="D394" s="4" t="n">
        <v>1901</v>
      </c>
      <c r="E394" s="4" t="n">
        <v>1958</v>
      </c>
      <c r="F394" s="4" t="s">
        <v>489</v>
      </c>
      <c r="G394" s="4" t="s">
        <v>490</v>
      </c>
      <c r="H394" s="4" t="s">
        <v>969</v>
      </c>
      <c r="I394" s="4" t="s">
        <v>747</v>
      </c>
      <c r="J394" s="4" t="s">
        <v>1119</v>
      </c>
      <c r="K394" s="4" t="s">
        <v>1120</v>
      </c>
    </row>
    <row r="395" customFormat="false" ht="57.45" hidden="false" customHeight="false" outlineLevel="0" collapsed="false">
      <c r="A395" s="4" t="s">
        <v>1450</v>
      </c>
      <c r="B395" s="4" t="n">
        <v>100393</v>
      </c>
      <c r="C395" s="4" t="n">
        <v>43</v>
      </c>
      <c r="D395" s="4" t="n">
        <v>1906</v>
      </c>
      <c r="E395" s="4" t="n">
        <v>1939</v>
      </c>
      <c r="F395" s="4" t="s">
        <v>669</v>
      </c>
      <c r="G395" s="4" t="s">
        <v>670</v>
      </c>
      <c r="H395" s="4" t="s">
        <v>969</v>
      </c>
      <c r="I395" s="4" t="s">
        <v>956</v>
      </c>
      <c r="J395" s="4" t="s">
        <v>1061</v>
      </c>
      <c r="K395" s="4" t="s">
        <v>1062</v>
      </c>
    </row>
    <row r="396" customFormat="false" ht="46.25" hidden="false" customHeight="false" outlineLevel="0" collapsed="false">
      <c r="A396" s="4" t="s">
        <v>1451</v>
      </c>
      <c r="B396" s="4" t="n">
        <v>100397</v>
      </c>
      <c r="C396" s="4" t="n">
        <v>42</v>
      </c>
      <c r="D396" s="4" t="n">
        <v>1865</v>
      </c>
      <c r="E396" s="4" t="n">
        <v>1961</v>
      </c>
      <c r="F396" s="4" t="s">
        <v>102</v>
      </c>
      <c r="G396" s="4" t="s">
        <v>103</v>
      </c>
      <c r="H396" s="4" t="s">
        <v>969</v>
      </c>
      <c r="I396" s="4" t="s">
        <v>718</v>
      </c>
      <c r="J396" s="4" t="s">
        <v>1159</v>
      </c>
      <c r="K396" s="4" t="s">
        <v>1160</v>
      </c>
    </row>
    <row r="397" customFormat="false" ht="46.25" hidden="false" customHeight="false" outlineLevel="0" collapsed="false">
      <c r="A397" s="4" t="s">
        <v>1452</v>
      </c>
      <c r="B397" s="4" t="n">
        <v>100399</v>
      </c>
      <c r="C397" s="4" t="n">
        <v>42</v>
      </c>
      <c r="D397" s="4" t="n">
        <v>1889</v>
      </c>
      <c r="E397" s="4" t="n">
        <v>1894</v>
      </c>
      <c r="F397" s="4" t="s">
        <v>306</v>
      </c>
      <c r="G397" s="4" t="s">
        <v>316</v>
      </c>
      <c r="H397" s="4" t="s">
        <v>969</v>
      </c>
      <c r="I397" s="4" t="s">
        <v>718</v>
      </c>
      <c r="J397" s="4" t="s">
        <v>1231</v>
      </c>
      <c r="K397" s="4" t="s">
        <v>1232</v>
      </c>
    </row>
    <row r="398" customFormat="false" ht="46.25" hidden="false" customHeight="false" outlineLevel="0" collapsed="false">
      <c r="A398" s="4" t="s">
        <v>1453</v>
      </c>
      <c r="B398" s="4" t="n">
        <v>100400</v>
      </c>
      <c r="C398" s="4" t="n">
        <v>42</v>
      </c>
      <c r="D398" s="4" t="n">
        <v>1897</v>
      </c>
      <c r="E398" s="4" t="n">
        <v>1960</v>
      </c>
      <c r="F398" s="4" t="s">
        <v>451</v>
      </c>
      <c r="G398" s="4" t="s">
        <v>453</v>
      </c>
      <c r="H398" s="4" t="s">
        <v>969</v>
      </c>
      <c r="I398" s="4" t="s">
        <v>718</v>
      </c>
      <c r="J398" s="4" t="s">
        <v>1193</v>
      </c>
      <c r="K398" s="4" t="s">
        <v>1194</v>
      </c>
    </row>
    <row r="399" customFormat="false" ht="57.45" hidden="false" customHeight="false" outlineLevel="0" collapsed="false">
      <c r="A399" s="4" t="s">
        <v>1454</v>
      </c>
      <c r="B399" s="4" t="n">
        <v>100401</v>
      </c>
      <c r="C399" s="4" t="n">
        <v>40</v>
      </c>
      <c r="D399" s="4" t="n">
        <v>1892</v>
      </c>
      <c r="E399" s="4" t="n">
        <v>1932</v>
      </c>
      <c r="F399" s="4" t="s">
        <v>652</v>
      </c>
      <c r="G399" s="4" t="s">
        <v>653</v>
      </c>
      <c r="H399" s="4" t="s">
        <v>969</v>
      </c>
      <c r="I399" s="4" t="s">
        <v>956</v>
      </c>
      <c r="J399" s="4" t="s">
        <v>1050</v>
      </c>
      <c r="K399" s="4" t="s">
        <v>1051</v>
      </c>
    </row>
    <row r="400" customFormat="false" ht="46.25" hidden="false" customHeight="false" outlineLevel="0" collapsed="false">
      <c r="A400" s="4" t="s">
        <v>1455</v>
      </c>
      <c r="B400" s="4" t="n">
        <v>100407</v>
      </c>
      <c r="C400" s="4" t="n">
        <v>36</v>
      </c>
      <c r="D400" s="4" t="n">
        <v>1873</v>
      </c>
      <c r="E400" s="4" t="n">
        <v>1960</v>
      </c>
      <c r="F400" s="4" t="s">
        <v>183</v>
      </c>
      <c r="G400" s="4" t="s">
        <v>184</v>
      </c>
      <c r="H400" s="4" t="s">
        <v>969</v>
      </c>
      <c r="I400" s="4" t="s">
        <v>718</v>
      </c>
      <c r="J400" s="4" t="s">
        <v>796</v>
      </c>
      <c r="K400" s="4" t="s">
        <v>1105</v>
      </c>
    </row>
    <row r="401" customFormat="false" ht="57.45" hidden="false" customHeight="false" outlineLevel="0" collapsed="false">
      <c r="A401" s="4" t="s">
        <v>1456</v>
      </c>
      <c r="B401" s="4" t="n">
        <v>100308</v>
      </c>
      <c r="C401" s="4" t="n">
        <v>35</v>
      </c>
      <c r="D401" s="4" t="n">
        <v>1891</v>
      </c>
      <c r="E401" s="4" t="n">
        <v>1958</v>
      </c>
      <c r="F401" s="4" t="s">
        <v>332</v>
      </c>
      <c r="G401" s="4" t="s">
        <v>333</v>
      </c>
      <c r="H401" s="4" t="s">
        <v>969</v>
      </c>
      <c r="I401" s="4" t="s">
        <v>718</v>
      </c>
      <c r="J401" s="4" t="s">
        <v>1200</v>
      </c>
      <c r="K401" s="4" t="s">
        <v>1201</v>
      </c>
    </row>
    <row r="402" customFormat="false" ht="46.25" hidden="false" customHeight="false" outlineLevel="0" collapsed="false">
      <c r="A402" s="4" t="s">
        <v>1457</v>
      </c>
      <c r="B402" s="4" t="n">
        <v>100378</v>
      </c>
      <c r="C402" s="4" t="n">
        <v>34</v>
      </c>
      <c r="D402" s="4" t="n">
        <v>1889</v>
      </c>
      <c r="E402" s="4" t="n">
        <v>1894</v>
      </c>
      <c r="F402" s="4" t="s">
        <v>306</v>
      </c>
      <c r="G402" s="4" t="s">
        <v>316</v>
      </c>
      <c r="H402" s="4" t="s">
        <v>969</v>
      </c>
      <c r="I402" s="4" t="s">
        <v>718</v>
      </c>
      <c r="J402" s="4" t="s">
        <v>1231</v>
      </c>
      <c r="K402" s="4" t="s">
        <v>1232</v>
      </c>
    </row>
    <row r="403" customFormat="false" ht="57.45" hidden="false" customHeight="false" outlineLevel="0" collapsed="false">
      <c r="A403" s="4" t="s">
        <v>1458</v>
      </c>
      <c r="B403" s="4" t="n">
        <v>100408</v>
      </c>
      <c r="C403" s="4" t="n">
        <v>34</v>
      </c>
      <c r="D403" s="4" t="n">
        <v>1888</v>
      </c>
      <c r="E403" s="4" t="n">
        <v>1935</v>
      </c>
      <c r="F403" s="4" t="s">
        <v>244</v>
      </c>
      <c r="G403" s="4" t="s">
        <v>245</v>
      </c>
      <c r="H403" s="4" t="s">
        <v>969</v>
      </c>
      <c r="I403" s="4" t="s">
        <v>718</v>
      </c>
      <c r="J403" s="4" t="s">
        <v>1058</v>
      </c>
      <c r="K403" s="4" t="s">
        <v>1059</v>
      </c>
    </row>
    <row r="404" customFormat="false" ht="57.45" hidden="false" customHeight="false" outlineLevel="0" collapsed="false">
      <c r="A404" s="4" t="s">
        <v>1459</v>
      </c>
      <c r="B404" s="4" t="n">
        <v>100433</v>
      </c>
      <c r="C404" s="4" t="n">
        <v>34</v>
      </c>
      <c r="D404" s="4" t="n">
        <v>1875</v>
      </c>
      <c r="E404" s="4" t="n">
        <v>1933</v>
      </c>
      <c r="F404" s="4" t="s">
        <v>266</v>
      </c>
      <c r="G404" s="4" t="s">
        <v>288</v>
      </c>
      <c r="H404" s="4" t="s">
        <v>969</v>
      </c>
      <c r="I404" s="4" t="s">
        <v>718</v>
      </c>
      <c r="J404" s="4" t="s">
        <v>773</v>
      </c>
      <c r="K404" s="4" t="s">
        <v>1074</v>
      </c>
    </row>
    <row r="405" customFormat="false" ht="46.25" hidden="false" customHeight="false" outlineLevel="0" collapsed="false">
      <c r="A405" s="4" t="s">
        <v>1460</v>
      </c>
      <c r="B405" s="4" t="n">
        <v>100384</v>
      </c>
      <c r="C405" s="4" t="n">
        <v>33</v>
      </c>
      <c r="D405" s="4" t="n">
        <v>1890</v>
      </c>
      <c r="E405" s="4" t="n">
        <v>1958</v>
      </c>
      <c r="F405" s="4" t="s">
        <v>322</v>
      </c>
      <c r="G405" s="4" t="s">
        <v>323</v>
      </c>
      <c r="H405" s="4" t="s">
        <v>969</v>
      </c>
      <c r="I405" s="4" t="s">
        <v>718</v>
      </c>
      <c r="J405" s="4" t="s">
        <v>1151</v>
      </c>
      <c r="K405" s="4" t="s">
        <v>1152</v>
      </c>
    </row>
    <row r="406" customFormat="false" ht="57.45" hidden="false" customHeight="false" outlineLevel="0" collapsed="false">
      <c r="A406" s="4" t="s">
        <v>1461</v>
      </c>
      <c r="B406" s="4" t="n">
        <v>100409</v>
      </c>
      <c r="C406" s="4" t="n">
        <v>32</v>
      </c>
      <c r="D406" s="4" t="n">
        <v>1875</v>
      </c>
      <c r="E406" s="4" t="n">
        <v>1933</v>
      </c>
      <c r="F406" s="4" t="s">
        <v>266</v>
      </c>
      <c r="G406" s="4" t="s">
        <v>288</v>
      </c>
      <c r="H406" s="4" t="s">
        <v>969</v>
      </c>
      <c r="I406" s="4" t="s">
        <v>718</v>
      </c>
      <c r="J406" s="4" t="s">
        <v>773</v>
      </c>
      <c r="K406" s="4" t="s">
        <v>1074</v>
      </c>
    </row>
    <row r="407" customFormat="false" ht="46.25" hidden="false" customHeight="false" outlineLevel="0" collapsed="false">
      <c r="A407" s="4" t="s">
        <v>1462</v>
      </c>
      <c r="B407" s="4" t="n">
        <v>100410</v>
      </c>
      <c r="C407" s="4" t="n">
        <v>32</v>
      </c>
      <c r="D407" s="4" t="n">
        <v>1865</v>
      </c>
      <c r="E407" s="4" t="n">
        <v>1961</v>
      </c>
      <c r="F407" s="4" t="s">
        <v>102</v>
      </c>
      <c r="G407" s="4" t="s">
        <v>103</v>
      </c>
      <c r="H407" s="4" t="s">
        <v>969</v>
      </c>
      <c r="I407" s="4" t="s">
        <v>718</v>
      </c>
      <c r="J407" s="4" t="s">
        <v>1159</v>
      </c>
      <c r="K407" s="4" t="s">
        <v>1160</v>
      </c>
    </row>
    <row r="408" customFormat="false" ht="46.25" hidden="false" customHeight="false" outlineLevel="0" collapsed="false">
      <c r="A408" s="4" t="s">
        <v>1463</v>
      </c>
      <c r="B408" s="4" t="n">
        <v>100411</v>
      </c>
      <c r="C408" s="4" t="n">
        <v>30</v>
      </c>
      <c r="D408" s="4" t="n">
        <v>1908</v>
      </c>
      <c r="E408" s="4" t="n">
        <v>1935</v>
      </c>
      <c r="F408" s="4" t="s">
        <v>691</v>
      </c>
      <c r="G408" s="4" t="s">
        <v>692</v>
      </c>
      <c r="H408" s="4" t="s">
        <v>969</v>
      </c>
      <c r="I408" s="4" t="s">
        <v>994</v>
      </c>
      <c r="J408" s="4" t="s">
        <v>1001</v>
      </c>
      <c r="K408" s="4" t="s">
        <v>1002</v>
      </c>
    </row>
    <row r="409" customFormat="false" ht="57.45" hidden="false" customHeight="false" outlineLevel="0" collapsed="false">
      <c r="A409" s="4" t="s">
        <v>1464</v>
      </c>
      <c r="B409" s="4" t="n">
        <v>100200</v>
      </c>
      <c r="C409" s="4" t="n">
        <v>27</v>
      </c>
      <c r="D409" s="4" t="n">
        <v>1891</v>
      </c>
      <c r="E409" s="4" t="n">
        <v>1958</v>
      </c>
      <c r="F409" s="4" t="s">
        <v>332</v>
      </c>
      <c r="G409" s="4" t="s">
        <v>333</v>
      </c>
      <c r="H409" s="4" t="s">
        <v>969</v>
      </c>
      <c r="I409" s="4" t="s">
        <v>718</v>
      </c>
      <c r="J409" s="4" t="s">
        <v>1200</v>
      </c>
      <c r="K409" s="4" t="s">
        <v>1201</v>
      </c>
    </row>
    <row r="410" customFormat="false" ht="46.25" hidden="false" customHeight="false" outlineLevel="0" collapsed="false">
      <c r="A410" s="4" t="s">
        <v>1465</v>
      </c>
      <c r="B410" s="4" t="n">
        <v>100412</v>
      </c>
      <c r="C410" s="4" t="n">
        <v>27</v>
      </c>
      <c r="D410" s="4" t="n">
        <v>1862</v>
      </c>
      <c r="E410" s="4" t="n">
        <v>1960</v>
      </c>
      <c r="F410" s="4" t="s">
        <v>68</v>
      </c>
      <c r="G410" s="4" t="s">
        <v>69</v>
      </c>
      <c r="H410" s="4" t="s">
        <v>969</v>
      </c>
      <c r="I410" s="4" t="s">
        <v>747</v>
      </c>
      <c r="J410" s="4" t="s">
        <v>742</v>
      </c>
      <c r="K410" s="4" t="s">
        <v>1169</v>
      </c>
    </row>
    <row r="411" customFormat="false" ht="46.25" hidden="false" customHeight="false" outlineLevel="0" collapsed="false">
      <c r="A411" s="4" t="s">
        <v>1466</v>
      </c>
      <c r="B411" s="4" t="n">
        <v>100414</v>
      </c>
      <c r="C411" s="4" t="n">
        <v>26</v>
      </c>
      <c r="D411" s="4" t="n">
        <v>1923</v>
      </c>
      <c r="E411" s="4" t="n">
        <v>1956</v>
      </c>
      <c r="F411" s="4" t="s">
        <v>603</v>
      </c>
      <c r="G411" s="4" t="s">
        <v>604</v>
      </c>
      <c r="H411" s="4" t="s">
        <v>969</v>
      </c>
      <c r="I411" s="4" t="s">
        <v>747</v>
      </c>
      <c r="J411" s="4" t="s">
        <v>1212</v>
      </c>
      <c r="K411" s="4" t="s">
        <v>1213</v>
      </c>
    </row>
    <row r="412" customFormat="false" ht="57.45" hidden="false" customHeight="false" outlineLevel="0" collapsed="false">
      <c r="A412" s="4" t="s">
        <v>1467</v>
      </c>
      <c r="B412" s="4" t="n">
        <v>100415</v>
      </c>
      <c r="C412" s="4" t="n">
        <v>25</v>
      </c>
      <c r="D412" s="4" t="n">
        <v>1862</v>
      </c>
      <c r="E412" s="4" t="n">
        <v>1908</v>
      </c>
      <c r="F412" s="4" t="s">
        <v>91</v>
      </c>
      <c r="G412" s="4" t="s">
        <v>92</v>
      </c>
      <c r="H412" s="4" t="s">
        <v>969</v>
      </c>
      <c r="I412" s="4" t="s">
        <v>747</v>
      </c>
      <c r="J412" s="4" t="s">
        <v>1468</v>
      </c>
      <c r="K412" s="4" t="s">
        <v>1469</v>
      </c>
    </row>
    <row r="413" customFormat="false" ht="57.45" hidden="false" customHeight="false" outlineLevel="0" collapsed="false">
      <c r="A413" s="4" t="s">
        <v>1470</v>
      </c>
      <c r="B413" s="4" t="n">
        <v>100430</v>
      </c>
      <c r="C413" s="4" t="n">
        <v>23</v>
      </c>
      <c r="D413" s="4" t="n">
        <v>1875</v>
      </c>
      <c r="E413" s="4" t="n">
        <v>1933</v>
      </c>
      <c r="F413" s="4" t="s">
        <v>266</v>
      </c>
      <c r="G413" s="4" t="s">
        <v>288</v>
      </c>
      <c r="H413" s="4" t="s">
        <v>969</v>
      </c>
      <c r="I413" s="4" t="s">
        <v>718</v>
      </c>
      <c r="J413" s="4" t="s">
        <v>773</v>
      </c>
      <c r="K413" s="4" t="s">
        <v>1074</v>
      </c>
    </row>
    <row r="414" customFormat="false" ht="46.25" hidden="false" customHeight="false" outlineLevel="0" collapsed="false">
      <c r="A414" s="4" t="s">
        <v>1471</v>
      </c>
      <c r="B414" s="4" t="n">
        <v>100419</v>
      </c>
      <c r="C414" s="4" t="n">
        <v>22</v>
      </c>
      <c r="D414" s="4" t="n">
        <v>1897</v>
      </c>
      <c r="E414" s="4" t="n">
        <v>1927</v>
      </c>
      <c r="F414" s="4" t="s">
        <v>538</v>
      </c>
      <c r="G414" s="4" t="s">
        <v>539</v>
      </c>
      <c r="H414" s="4" t="s">
        <v>969</v>
      </c>
      <c r="I414" s="4" t="s">
        <v>747</v>
      </c>
      <c r="J414" s="4" t="s">
        <v>1047</v>
      </c>
      <c r="K414" s="4" t="s">
        <v>1048</v>
      </c>
    </row>
    <row r="415" customFormat="false" ht="46.25" hidden="false" customHeight="false" outlineLevel="0" collapsed="false">
      <c r="A415" s="4" t="s">
        <v>1472</v>
      </c>
      <c r="B415" s="4" t="n">
        <v>100421</v>
      </c>
      <c r="C415" s="4" t="n">
        <v>19</v>
      </c>
      <c r="D415" s="4" t="n">
        <v>1908</v>
      </c>
      <c r="E415" s="4" t="n">
        <v>1935</v>
      </c>
      <c r="F415" s="4" t="s">
        <v>691</v>
      </c>
      <c r="G415" s="4" t="s">
        <v>692</v>
      </c>
      <c r="H415" s="4" t="s">
        <v>969</v>
      </c>
      <c r="I415" s="4" t="s">
        <v>994</v>
      </c>
      <c r="J415" s="4" t="s">
        <v>1001</v>
      </c>
      <c r="K415" s="4" t="s">
        <v>1002</v>
      </c>
    </row>
    <row r="416" customFormat="false" ht="57.45" hidden="false" customHeight="false" outlineLevel="0" collapsed="false">
      <c r="A416" s="4" t="s">
        <v>1473</v>
      </c>
      <c r="B416" s="4" t="n">
        <v>100381</v>
      </c>
      <c r="C416" s="4" t="n">
        <v>15</v>
      </c>
      <c r="D416" s="4" t="n">
        <v>1888</v>
      </c>
      <c r="E416" s="4" t="n">
        <v>1935</v>
      </c>
      <c r="F416" s="4" t="s">
        <v>244</v>
      </c>
      <c r="G416" s="4" t="s">
        <v>245</v>
      </c>
      <c r="H416" s="4" t="s">
        <v>969</v>
      </c>
      <c r="I416" s="4" t="s">
        <v>718</v>
      </c>
      <c r="J416" s="4" t="s">
        <v>1058</v>
      </c>
      <c r="K416" s="4" t="s">
        <v>1059</v>
      </c>
    </row>
    <row r="417" customFormat="false" ht="46.25" hidden="false" customHeight="false" outlineLevel="0" collapsed="false">
      <c r="A417" s="4" t="s">
        <v>1474</v>
      </c>
      <c r="B417" s="4" t="n">
        <v>100379</v>
      </c>
      <c r="C417" s="4" t="n">
        <v>14</v>
      </c>
      <c r="D417" s="4" t="n">
        <v>1941</v>
      </c>
      <c r="E417" s="4" t="n">
        <v>1960</v>
      </c>
      <c r="F417" s="4" t="s">
        <v>68</v>
      </c>
      <c r="G417" s="4" t="s">
        <v>69</v>
      </c>
      <c r="H417" s="4" t="s">
        <v>969</v>
      </c>
      <c r="I417" s="4" t="s">
        <v>747</v>
      </c>
      <c r="J417" s="4" t="s">
        <v>1271</v>
      </c>
      <c r="K417" s="4" t="s">
        <v>1272</v>
      </c>
    </row>
    <row r="418" customFormat="false" ht="57.45" hidden="false" customHeight="false" outlineLevel="0" collapsed="false">
      <c r="A418" s="4" t="s">
        <v>1475</v>
      </c>
      <c r="B418" s="4" t="n">
        <v>100402</v>
      </c>
      <c r="C418" s="4" t="n">
        <v>13</v>
      </c>
      <c r="D418" s="4" t="n">
        <v>1907</v>
      </c>
      <c r="E418" s="4" t="n">
        <v>1932</v>
      </c>
      <c r="F418" s="4" t="s">
        <v>650</v>
      </c>
      <c r="G418" s="4" t="s">
        <v>676</v>
      </c>
      <c r="H418" s="4" t="s">
        <v>969</v>
      </c>
      <c r="I418" s="4" t="s">
        <v>956</v>
      </c>
      <c r="J418" s="4" t="s">
        <v>1035</v>
      </c>
      <c r="K418" s="4" t="s">
        <v>1036</v>
      </c>
    </row>
    <row r="419" customFormat="false" ht="57.45" hidden="false" customHeight="false" outlineLevel="0" collapsed="false">
      <c r="A419" s="4" t="s">
        <v>1476</v>
      </c>
      <c r="B419" s="4" t="n">
        <v>100284</v>
      </c>
      <c r="C419" s="4" t="n">
        <v>12</v>
      </c>
      <c r="D419" s="4" t="n">
        <v>1891</v>
      </c>
      <c r="E419" s="4" t="n">
        <v>1958</v>
      </c>
      <c r="F419" s="4" t="s">
        <v>332</v>
      </c>
      <c r="G419" s="4" t="s">
        <v>333</v>
      </c>
      <c r="H419" s="4" t="s">
        <v>969</v>
      </c>
      <c r="I419" s="4" t="s">
        <v>718</v>
      </c>
      <c r="J419" s="4" t="s">
        <v>1200</v>
      </c>
      <c r="K419" s="4" t="s">
        <v>1201</v>
      </c>
    </row>
    <row r="420" customFormat="false" ht="46.25" hidden="false" customHeight="false" outlineLevel="0" collapsed="false">
      <c r="A420" s="4" t="s">
        <v>1477</v>
      </c>
      <c r="B420" s="4" t="n">
        <v>100396</v>
      </c>
      <c r="C420" s="4" t="n">
        <v>10</v>
      </c>
      <c r="D420" s="4" t="n">
        <v>1896</v>
      </c>
      <c r="E420" s="4" t="n">
        <v>1921</v>
      </c>
      <c r="F420" s="4" t="s">
        <v>642</v>
      </c>
      <c r="G420" s="4" t="s">
        <v>643</v>
      </c>
      <c r="H420" s="4" t="s">
        <v>969</v>
      </c>
      <c r="I420" s="4" t="s">
        <v>956</v>
      </c>
      <c r="J420" s="4" t="s">
        <v>1012</v>
      </c>
      <c r="K420" s="4" t="s">
        <v>1013</v>
      </c>
    </row>
    <row r="421" customFormat="false" ht="57.45" hidden="false" customHeight="false" outlineLevel="0" collapsed="false">
      <c r="A421" s="4" t="s">
        <v>1478</v>
      </c>
      <c r="B421" s="4" t="n">
        <v>100306</v>
      </c>
      <c r="C421" s="4" t="n">
        <v>9</v>
      </c>
      <c r="D421" s="4" t="n">
        <v>1891</v>
      </c>
      <c r="E421" s="4" t="n">
        <v>1958</v>
      </c>
      <c r="F421" s="4" t="s">
        <v>332</v>
      </c>
      <c r="G421" s="4" t="s">
        <v>333</v>
      </c>
      <c r="H421" s="4" t="s">
        <v>969</v>
      </c>
      <c r="I421" s="4" t="s">
        <v>718</v>
      </c>
      <c r="J421" s="4" t="s">
        <v>1200</v>
      </c>
      <c r="K421" s="4" t="s">
        <v>1201</v>
      </c>
    </row>
    <row r="422" customFormat="false" ht="46.25" hidden="false" customHeight="false" outlineLevel="0" collapsed="false">
      <c r="A422" s="4" t="s">
        <v>1479</v>
      </c>
      <c r="B422" s="4" t="n">
        <v>100395</v>
      </c>
      <c r="C422" s="4" t="n">
        <v>9</v>
      </c>
      <c r="D422" s="4" t="n">
        <v>1896</v>
      </c>
      <c r="E422" s="4" t="n">
        <v>1921</v>
      </c>
      <c r="F422" s="4" t="s">
        <v>642</v>
      </c>
      <c r="G422" s="4" t="s">
        <v>643</v>
      </c>
      <c r="H422" s="4" t="s">
        <v>969</v>
      </c>
      <c r="I422" s="4" t="s">
        <v>956</v>
      </c>
      <c r="J422" s="4" t="s">
        <v>1012</v>
      </c>
      <c r="K422" s="4" t="s">
        <v>1013</v>
      </c>
    </row>
    <row r="423" customFormat="false" ht="57.45" hidden="false" customHeight="false" outlineLevel="0" collapsed="false">
      <c r="A423" s="4" t="s">
        <v>1480</v>
      </c>
      <c r="B423" s="4" t="n">
        <v>100434</v>
      </c>
      <c r="C423" s="4" t="n">
        <v>9</v>
      </c>
      <c r="D423" s="4" t="n">
        <v>1875</v>
      </c>
      <c r="E423" s="4" t="n">
        <v>1933</v>
      </c>
      <c r="F423" s="4" t="s">
        <v>266</v>
      </c>
      <c r="G423" s="4" t="s">
        <v>288</v>
      </c>
      <c r="H423" s="4" t="s">
        <v>969</v>
      </c>
      <c r="I423" s="4" t="s">
        <v>718</v>
      </c>
      <c r="J423" s="4" t="s">
        <v>773</v>
      </c>
      <c r="K423" s="4" t="s">
        <v>1074</v>
      </c>
    </row>
    <row r="424" customFormat="false" ht="46.25" hidden="false" customHeight="false" outlineLevel="0" collapsed="false">
      <c r="A424" s="4" t="s">
        <v>1481</v>
      </c>
      <c r="B424" s="4" t="n">
        <v>100211</v>
      </c>
      <c r="C424" s="4" t="n">
        <v>8</v>
      </c>
      <c r="D424" s="4" t="n">
        <v>1870</v>
      </c>
      <c r="E424" s="4" t="n">
        <v>1949</v>
      </c>
      <c r="F424" s="4" t="s">
        <v>89</v>
      </c>
      <c r="G424" s="4" t="s">
        <v>211</v>
      </c>
      <c r="H424" s="4" t="s">
        <v>969</v>
      </c>
      <c r="I424" s="4" t="s">
        <v>718</v>
      </c>
      <c r="J424" s="4" t="s">
        <v>910</v>
      </c>
      <c r="K424" s="4" t="s">
        <v>1103</v>
      </c>
    </row>
    <row r="425" customFormat="false" ht="46.25" hidden="false" customHeight="false" outlineLevel="0" collapsed="false">
      <c r="A425" s="4" t="s">
        <v>1482</v>
      </c>
      <c r="B425" s="4" t="n">
        <v>100221</v>
      </c>
      <c r="C425" s="4" t="n">
        <v>8</v>
      </c>
      <c r="D425" s="4" t="n">
        <v>1865</v>
      </c>
      <c r="E425" s="4" t="n">
        <v>1961</v>
      </c>
      <c r="F425" s="4" t="s">
        <v>102</v>
      </c>
      <c r="G425" s="4" t="s">
        <v>103</v>
      </c>
      <c r="H425" s="4" t="s">
        <v>969</v>
      </c>
      <c r="I425" s="4" t="s">
        <v>718</v>
      </c>
      <c r="J425" s="4" t="s">
        <v>1159</v>
      </c>
      <c r="K425" s="4" t="s">
        <v>1160</v>
      </c>
    </row>
    <row r="426" customFormat="false" ht="57.45" hidden="false" customHeight="false" outlineLevel="0" collapsed="false">
      <c r="A426" s="4" t="s">
        <v>1483</v>
      </c>
      <c r="B426" s="4" t="n">
        <v>100403</v>
      </c>
      <c r="C426" s="4" t="n">
        <v>8</v>
      </c>
      <c r="D426" s="4" t="n">
        <v>1907</v>
      </c>
      <c r="E426" s="4" t="n">
        <v>1932</v>
      </c>
      <c r="F426" s="4" t="s">
        <v>650</v>
      </c>
      <c r="G426" s="4" t="s">
        <v>676</v>
      </c>
      <c r="H426" s="4" t="s">
        <v>969</v>
      </c>
      <c r="I426" s="4" t="s">
        <v>956</v>
      </c>
      <c r="J426" s="4" t="s">
        <v>1035</v>
      </c>
      <c r="K426" s="4" t="s">
        <v>1036</v>
      </c>
    </row>
    <row r="427" customFormat="false" ht="57.45" hidden="false" customHeight="false" outlineLevel="0" collapsed="false">
      <c r="A427" s="4" t="s">
        <v>1484</v>
      </c>
      <c r="B427" s="4" t="n">
        <v>100431</v>
      </c>
      <c r="C427" s="4" t="n">
        <v>8</v>
      </c>
      <c r="D427" s="4" t="n">
        <v>1875</v>
      </c>
      <c r="E427" s="4" t="n">
        <v>1933</v>
      </c>
      <c r="F427" s="4" t="s">
        <v>266</v>
      </c>
      <c r="G427" s="4" t="s">
        <v>288</v>
      </c>
      <c r="H427" s="4" t="s">
        <v>969</v>
      </c>
      <c r="I427" s="4" t="s">
        <v>718</v>
      </c>
      <c r="J427" s="4" t="s">
        <v>773</v>
      </c>
      <c r="K427" s="4" t="s">
        <v>1074</v>
      </c>
    </row>
    <row r="428" customFormat="false" ht="46.25" hidden="false" customHeight="false" outlineLevel="0" collapsed="false">
      <c r="A428" s="4" t="s">
        <v>1485</v>
      </c>
      <c r="B428" s="4" t="n">
        <v>100240</v>
      </c>
      <c r="C428" s="4" t="n">
        <v>2</v>
      </c>
      <c r="D428" s="4" t="n">
        <v>1894</v>
      </c>
      <c r="E428" s="4" t="n">
        <v>1908</v>
      </c>
      <c r="F428" s="4" t="s">
        <v>478</v>
      </c>
      <c r="G428" s="4" t="s">
        <v>479</v>
      </c>
      <c r="H428" s="4" t="s">
        <v>969</v>
      </c>
      <c r="I428" s="4" t="s">
        <v>718</v>
      </c>
      <c r="J428" s="4" t="s">
        <v>1181</v>
      </c>
      <c r="K428" s="4" t="s">
        <v>1182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4" min="3" style="0" width="11"/>
    <col collapsed="false" customWidth="true" hidden="false" outlineLevel="0" max="6" min="5" style="0" width="10"/>
    <col collapsed="false" customWidth="true" hidden="false" outlineLevel="0" max="7" min="7" style="0" width="34"/>
  </cols>
  <sheetData>
    <row r="1" customFormat="false" ht="15" hidden="false" customHeight="false" outlineLevel="0" collapsed="false">
      <c r="A1" s="11" t="s">
        <v>1486</v>
      </c>
      <c r="B1" s="11" t="s">
        <v>1487</v>
      </c>
      <c r="C1" s="11" t="s">
        <v>1488</v>
      </c>
      <c r="D1" s="11" t="s">
        <v>1489</v>
      </c>
      <c r="E1" s="11" t="s">
        <v>702</v>
      </c>
      <c r="F1" s="11" t="s">
        <v>703</v>
      </c>
      <c r="G1" s="11" t="s">
        <v>1490</v>
      </c>
    </row>
    <row r="2" customFormat="false" ht="35.05" hidden="false" customHeight="false" outlineLevel="0" collapsed="false">
      <c r="A2" s="4" t="n">
        <v>1633</v>
      </c>
      <c r="B2" s="4" t="s">
        <v>1491</v>
      </c>
      <c r="C2" s="4" t="n">
        <v>38.8935815</v>
      </c>
      <c r="D2" s="4" t="n">
        <v>-77.0113223</v>
      </c>
      <c r="E2" s="4" t="s">
        <v>58</v>
      </c>
      <c r="F2" s="4" t="s">
        <v>1492</v>
      </c>
      <c r="G2" s="4" t="s">
        <v>1493</v>
      </c>
    </row>
    <row r="3" customFormat="false" ht="35.05" hidden="false" customHeight="false" outlineLevel="0" collapsed="false">
      <c r="A3" s="4" t="n">
        <v>845</v>
      </c>
      <c r="B3" s="4" t="s">
        <v>1491</v>
      </c>
      <c r="C3" s="4" t="n">
        <v>38.9002216</v>
      </c>
      <c r="D3" s="4" t="n">
        <v>-77.0319493</v>
      </c>
      <c r="E3" s="4" t="s">
        <v>108</v>
      </c>
      <c r="F3" s="4" t="s">
        <v>1494</v>
      </c>
      <c r="G3" s="4" t="s">
        <v>1495</v>
      </c>
    </row>
    <row r="4" customFormat="false" ht="35.05" hidden="false" customHeight="false" outlineLevel="0" collapsed="false">
      <c r="A4" s="4" t="n">
        <v>1186</v>
      </c>
      <c r="B4" s="4" t="s">
        <v>1491</v>
      </c>
      <c r="C4" s="4" t="n">
        <v>38.8972906</v>
      </c>
      <c r="D4" s="4" t="n">
        <v>-77.0219186</v>
      </c>
      <c r="E4" s="4" t="s">
        <v>108</v>
      </c>
      <c r="F4" s="4" t="s">
        <v>1496</v>
      </c>
      <c r="G4" s="4" t="s">
        <v>1497</v>
      </c>
    </row>
    <row r="5" customFormat="false" ht="35.05" hidden="false" customHeight="false" outlineLevel="0" collapsed="false">
      <c r="A5" s="4" t="n">
        <v>1486</v>
      </c>
      <c r="B5" s="4" t="s">
        <v>1491</v>
      </c>
      <c r="C5" s="4" t="n">
        <v>38.8998191</v>
      </c>
      <c r="D5" s="4" t="n">
        <v>-77.0219128</v>
      </c>
      <c r="E5" s="4" t="s">
        <v>108</v>
      </c>
      <c r="F5" s="4" t="s">
        <v>1496</v>
      </c>
      <c r="G5" s="4" t="s">
        <v>1497</v>
      </c>
    </row>
    <row r="6" customFormat="false" ht="35.05" hidden="false" customHeight="false" outlineLevel="0" collapsed="false">
      <c r="A6" s="4" t="n">
        <v>1459</v>
      </c>
      <c r="B6" s="4" t="s">
        <v>1491</v>
      </c>
      <c r="C6" s="4" t="n">
        <v>38.9000407</v>
      </c>
      <c r="D6" s="4" t="n">
        <v>-77.0302814</v>
      </c>
      <c r="E6" s="4" t="s">
        <v>1498</v>
      </c>
      <c r="F6" s="4" t="s">
        <v>1492</v>
      </c>
      <c r="G6" s="4" t="s">
        <v>1499</v>
      </c>
    </row>
    <row r="7" customFormat="false" ht="35.05" hidden="false" customHeight="false" outlineLevel="0" collapsed="false">
      <c r="A7" s="4" t="n">
        <v>1468</v>
      </c>
      <c r="B7" s="4" t="s">
        <v>1491</v>
      </c>
      <c r="C7" s="4" t="n">
        <v>38.9021078</v>
      </c>
      <c r="D7" s="4" t="n">
        <v>-77.0219128</v>
      </c>
      <c r="E7" s="4" t="s">
        <v>1498</v>
      </c>
      <c r="F7" s="4" t="s">
        <v>1492</v>
      </c>
      <c r="G7" s="4" t="s">
        <v>1499</v>
      </c>
    </row>
    <row r="8" customFormat="false" ht="35.05" hidden="false" customHeight="false" outlineLevel="0" collapsed="false">
      <c r="A8" s="4" t="n">
        <v>1430</v>
      </c>
      <c r="B8" s="4" t="s">
        <v>1491</v>
      </c>
      <c r="C8" s="4" t="n">
        <v>38.8972815</v>
      </c>
      <c r="D8" s="4" t="n">
        <v>-77.0239732</v>
      </c>
      <c r="E8" s="4" t="s">
        <v>120</v>
      </c>
      <c r="F8" s="4" t="s">
        <v>1500</v>
      </c>
      <c r="G8" s="4" t="s">
        <v>1501</v>
      </c>
    </row>
    <row r="9" customFormat="false" ht="35.05" hidden="false" customHeight="false" outlineLevel="0" collapsed="false">
      <c r="A9" s="4" t="n">
        <v>1476</v>
      </c>
      <c r="B9" s="4" t="s">
        <v>1491</v>
      </c>
      <c r="C9" s="4" t="n">
        <v>38.8998191</v>
      </c>
      <c r="D9" s="4" t="n">
        <v>-77.0239675</v>
      </c>
      <c r="E9" s="4" t="s">
        <v>120</v>
      </c>
      <c r="F9" s="4" t="s">
        <v>1500</v>
      </c>
      <c r="G9" s="4" t="s">
        <v>1501</v>
      </c>
    </row>
    <row r="10" customFormat="false" ht="35.05" hidden="false" customHeight="false" outlineLevel="0" collapsed="false">
      <c r="A10" s="4" t="n">
        <v>1508</v>
      </c>
      <c r="B10" s="4" t="s">
        <v>1491</v>
      </c>
      <c r="C10" s="4" t="n">
        <v>38.8935996</v>
      </c>
      <c r="D10" s="4" t="n">
        <v>-77.0105259</v>
      </c>
      <c r="E10" s="4" t="s">
        <v>120</v>
      </c>
      <c r="F10" s="4" t="s">
        <v>1494</v>
      </c>
      <c r="G10" s="4" t="s">
        <v>1502</v>
      </c>
    </row>
    <row r="11" customFormat="false" ht="35.05" hidden="false" customHeight="false" outlineLevel="0" collapsed="false">
      <c r="A11" s="4" t="n">
        <v>1111</v>
      </c>
      <c r="B11" s="4" t="s">
        <v>1491</v>
      </c>
      <c r="C11" s="4" t="n">
        <v>38.9011715</v>
      </c>
      <c r="D11" s="4" t="n">
        <v>-77.0270379</v>
      </c>
      <c r="E11" s="4" t="s">
        <v>250</v>
      </c>
      <c r="F11" s="4" t="s">
        <v>1492</v>
      </c>
      <c r="G11" s="4" t="s">
        <v>1503</v>
      </c>
    </row>
    <row r="12" customFormat="false" ht="35.05" hidden="false" customHeight="false" outlineLevel="0" collapsed="false">
      <c r="A12" s="4" t="n">
        <v>1223</v>
      </c>
      <c r="B12" s="4" t="s">
        <v>1491</v>
      </c>
      <c r="C12" s="4" t="n">
        <v>38.9085716</v>
      </c>
      <c r="D12" s="4" t="n">
        <v>-77.0239675</v>
      </c>
      <c r="E12" s="4" t="s">
        <v>250</v>
      </c>
      <c r="F12" s="4" t="s">
        <v>1500</v>
      </c>
      <c r="G12" s="4" t="s">
        <v>1504</v>
      </c>
    </row>
    <row r="13" customFormat="false" ht="35.05" hidden="false" customHeight="false" outlineLevel="0" collapsed="false">
      <c r="A13" s="4" t="n">
        <v>1224</v>
      </c>
      <c r="B13" s="4" t="s">
        <v>1491</v>
      </c>
      <c r="C13" s="4" t="n">
        <v>38.9085716</v>
      </c>
      <c r="D13" s="4" t="n">
        <v>-77.0219186</v>
      </c>
      <c r="E13" s="4" t="s">
        <v>250</v>
      </c>
      <c r="F13" s="4" t="s">
        <v>1500</v>
      </c>
      <c r="G13" s="4" t="s">
        <v>1504</v>
      </c>
    </row>
    <row r="14" customFormat="false" ht="35.05" hidden="false" customHeight="false" outlineLevel="0" collapsed="false">
      <c r="A14" s="4" t="n">
        <v>1247</v>
      </c>
      <c r="B14" s="4" t="s">
        <v>1491</v>
      </c>
      <c r="C14" s="4" t="n">
        <v>38.8973584</v>
      </c>
      <c r="D14" s="4" t="n">
        <v>-77.0270379</v>
      </c>
      <c r="E14" s="4" t="s">
        <v>250</v>
      </c>
      <c r="F14" s="4" t="s">
        <v>1494</v>
      </c>
      <c r="G14" s="4" t="s">
        <v>1505</v>
      </c>
    </row>
    <row r="15" customFormat="false" ht="35.05" hidden="false" customHeight="false" outlineLevel="0" collapsed="false">
      <c r="A15" s="4" t="n">
        <v>1396</v>
      </c>
      <c r="B15" s="4" t="s">
        <v>1491</v>
      </c>
      <c r="C15" s="4" t="n">
        <v>38.8947937</v>
      </c>
      <c r="D15" s="4" t="n">
        <v>-77.0121707</v>
      </c>
      <c r="E15" s="4" t="s">
        <v>250</v>
      </c>
      <c r="F15" s="4" t="s">
        <v>1500</v>
      </c>
      <c r="G15" s="4" t="s">
        <v>1504</v>
      </c>
    </row>
    <row r="16" customFormat="false" ht="35.05" hidden="false" customHeight="false" outlineLevel="0" collapsed="false">
      <c r="A16" s="4" t="n">
        <v>1402</v>
      </c>
      <c r="B16" s="4" t="s">
        <v>1491</v>
      </c>
      <c r="C16" s="4" t="n">
        <v>38.8866519</v>
      </c>
      <c r="D16" s="4" t="n">
        <v>-77.0219244</v>
      </c>
      <c r="E16" s="4" t="s">
        <v>250</v>
      </c>
      <c r="F16" s="4" t="s">
        <v>1500</v>
      </c>
      <c r="G16" s="4" t="s">
        <v>1504</v>
      </c>
    </row>
    <row r="17" customFormat="false" ht="35.05" hidden="false" customHeight="false" outlineLevel="0" collapsed="false">
      <c r="A17" s="4" t="n">
        <v>1470</v>
      </c>
      <c r="B17" s="4" t="s">
        <v>1491</v>
      </c>
      <c r="C17" s="4" t="n">
        <v>38.9011172</v>
      </c>
      <c r="D17" s="4" t="n">
        <v>-77.0189002</v>
      </c>
      <c r="E17" s="4" t="s">
        <v>250</v>
      </c>
      <c r="F17" s="4" t="s">
        <v>1500</v>
      </c>
      <c r="G17" s="4" t="s">
        <v>1504</v>
      </c>
    </row>
    <row r="18" customFormat="false" ht="35.05" hidden="false" customHeight="false" outlineLevel="0" collapsed="false">
      <c r="A18" s="4" t="n">
        <v>1475</v>
      </c>
      <c r="B18" s="4" t="s">
        <v>1491</v>
      </c>
      <c r="C18" s="4" t="n">
        <v>38.8998191</v>
      </c>
      <c r="D18" s="4" t="n">
        <v>-77.0270379</v>
      </c>
      <c r="E18" s="4" t="s">
        <v>250</v>
      </c>
      <c r="F18" s="4" t="s">
        <v>1494</v>
      </c>
      <c r="G18" s="4" t="s">
        <v>1505</v>
      </c>
    </row>
    <row r="19" customFormat="false" ht="35.05" hidden="false" customHeight="false" outlineLevel="0" collapsed="false">
      <c r="A19" s="4" t="n">
        <v>1487</v>
      </c>
      <c r="B19" s="4" t="s">
        <v>1491</v>
      </c>
      <c r="C19" s="4" t="n">
        <v>38.8998191</v>
      </c>
      <c r="D19" s="4" t="n">
        <v>-77.0189002</v>
      </c>
      <c r="E19" s="4" t="s">
        <v>250</v>
      </c>
      <c r="F19" s="4" t="s">
        <v>1500</v>
      </c>
      <c r="G19" s="4" t="s">
        <v>1504</v>
      </c>
    </row>
    <row r="20" customFormat="false" ht="35.05" hidden="false" customHeight="false" outlineLevel="0" collapsed="false">
      <c r="A20" s="4" t="n">
        <v>1112</v>
      </c>
      <c r="B20" s="4" t="s">
        <v>1491</v>
      </c>
      <c r="C20" s="4" t="n">
        <v>38.9096436</v>
      </c>
      <c r="D20" s="4" t="n">
        <v>-77.0239675</v>
      </c>
      <c r="E20" s="4" t="s">
        <v>1506</v>
      </c>
      <c r="F20" s="4" t="s">
        <v>1500</v>
      </c>
      <c r="G20" s="4" t="s">
        <v>1507</v>
      </c>
    </row>
    <row r="21" customFormat="false" ht="35.05" hidden="false" customHeight="false" outlineLevel="0" collapsed="false">
      <c r="A21" s="4" t="n">
        <v>1154</v>
      </c>
      <c r="B21" s="4" t="s">
        <v>1491</v>
      </c>
      <c r="C21" s="4" t="n">
        <v>38.9096436</v>
      </c>
      <c r="D21" s="4" t="n">
        <v>-77.0219186</v>
      </c>
      <c r="E21" s="4" t="s">
        <v>1506</v>
      </c>
      <c r="F21" s="4" t="s">
        <v>1500</v>
      </c>
      <c r="G21" s="4" t="s">
        <v>1507</v>
      </c>
    </row>
    <row r="22" customFormat="false" ht="35.05" hidden="false" customHeight="false" outlineLevel="0" collapsed="false">
      <c r="A22" s="4" t="n">
        <v>1301</v>
      </c>
      <c r="B22" s="4" t="s">
        <v>1491</v>
      </c>
      <c r="C22" s="4" t="n">
        <v>38.9048218</v>
      </c>
      <c r="D22" s="4" t="n">
        <v>-77.0161703</v>
      </c>
      <c r="E22" s="4" t="s">
        <v>303</v>
      </c>
      <c r="F22" s="4" t="s">
        <v>1500</v>
      </c>
      <c r="G22" s="4" t="s">
        <v>1508</v>
      </c>
    </row>
    <row r="23" customFormat="false" ht="35.05" hidden="false" customHeight="false" outlineLevel="0" collapsed="false">
      <c r="A23" s="4" t="n">
        <v>993</v>
      </c>
      <c r="B23" s="4" t="s">
        <v>1491</v>
      </c>
      <c r="C23" s="4" t="n">
        <v>38.9002443</v>
      </c>
      <c r="D23" s="4" t="n">
        <v>-77.0091119</v>
      </c>
      <c r="E23" s="4" t="s">
        <v>73</v>
      </c>
      <c r="F23" s="4" t="s">
        <v>1492</v>
      </c>
      <c r="G23" s="4" t="s">
        <v>1509</v>
      </c>
    </row>
    <row r="24" customFormat="false" ht="35.05" hidden="false" customHeight="false" outlineLevel="0" collapsed="false">
      <c r="A24" s="4" t="n">
        <v>1244</v>
      </c>
      <c r="B24" s="4" t="s">
        <v>1491</v>
      </c>
      <c r="C24" s="4" t="n">
        <v>38.8983264</v>
      </c>
      <c r="D24" s="4" t="n">
        <v>-77.0270379</v>
      </c>
      <c r="E24" s="4" t="s">
        <v>336</v>
      </c>
      <c r="F24" s="4" t="s">
        <v>1510</v>
      </c>
      <c r="G24" s="4" t="s">
        <v>1511</v>
      </c>
    </row>
    <row r="25" customFormat="false" ht="35.05" hidden="false" customHeight="false" outlineLevel="0" collapsed="false">
      <c r="A25" s="4" t="n">
        <v>1296</v>
      </c>
      <c r="B25" s="4" t="s">
        <v>1491</v>
      </c>
      <c r="C25" s="4" t="n">
        <v>38.9013253</v>
      </c>
      <c r="D25" s="4" t="n">
        <v>-77.0189002</v>
      </c>
      <c r="E25" s="4" t="s">
        <v>336</v>
      </c>
      <c r="F25" s="4" t="s">
        <v>1500</v>
      </c>
      <c r="G25" s="4" t="s">
        <v>1512</v>
      </c>
    </row>
    <row r="26" customFormat="false" ht="35.05" hidden="false" customHeight="false" outlineLevel="0" collapsed="false">
      <c r="A26" s="4" t="n">
        <v>1495</v>
      </c>
      <c r="B26" s="4" t="s">
        <v>1491</v>
      </c>
      <c r="C26" s="4" t="n">
        <v>38.8984033</v>
      </c>
      <c r="D26" s="4" t="n">
        <v>-77.0239732</v>
      </c>
      <c r="E26" s="4" t="s">
        <v>336</v>
      </c>
      <c r="F26" s="4" t="s">
        <v>1500</v>
      </c>
      <c r="G26" s="4" t="s">
        <v>1512</v>
      </c>
    </row>
    <row r="27" customFormat="false" ht="35.05" hidden="false" customHeight="false" outlineLevel="0" collapsed="false">
      <c r="A27" s="4" t="n">
        <v>1506</v>
      </c>
      <c r="B27" s="4" t="s">
        <v>1491</v>
      </c>
      <c r="C27" s="4" t="n">
        <v>38.8984621</v>
      </c>
      <c r="D27" s="4" t="n">
        <v>-77.0219128</v>
      </c>
      <c r="E27" s="4" t="s">
        <v>336</v>
      </c>
      <c r="F27" s="4" t="s">
        <v>1510</v>
      </c>
      <c r="G27" s="4" t="s">
        <v>1511</v>
      </c>
    </row>
    <row r="28" customFormat="false" ht="35.05" hidden="false" customHeight="false" outlineLevel="0" collapsed="false">
      <c r="A28" s="4" t="n">
        <v>1580</v>
      </c>
      <c r="B28" s="4" t="s">
        <v>1491</v>
      </c>
      <c r="C28" s="4" t="n">
        <v>38.8997377</v>
      </c>
      <c r="D28" s="4" t="n">
        <v>-77.0189002</v>
      </c>
      <c r="E28" s="4" t="s">
        <v>336</v>
      </c>
      <c r="F28" s="4" t="s">
        <v>1500</v>
      </c>
      <c r="G28" s="4" t="s">
        <v>1512</v>
      </c>
    </row>
    <row r="29" customFormat="false" ht="35.05" hidden="false" customHeight="false" outlineLevel="0" collapsed="false">
      <c r="A29" s="4" t="n">
        <v>1609</v>
      </c>
      <c r="B29" s="4" t="s">
        <v>1491</v>
      </c>
      <c r="C29" s="4" t="n">
        <v>38.9010403</v>
      </c>
      <c r="D29" s="4" t="n">
        <v>-77.0189002</v>
      </c>
      <c r="E29" s="4" t="s">
        <v>336</v>
      </c>
      <c r="F29" s="4" t="s">
        <v>1500</v>
      </c>
      <c r="G29" s="4" t="s">
        <v>1512</v>
      </c>
    </row>
    <row r="30" customFormat="false" ht="35.05" hidden="false" customHeight="false" outlineLevel="0" collapsed="false">
      <c r="A30" s="4" t="n">
        <v>1612</v>
      </c>
      <c r="B30" s="4" t="s">
        <v>1491</v>
      </c>
      <c r="C30" s="4" t="n">
        <v>38.9001312</v>
      </c>
      <c r="D30" s="4" t="n">
        <v>-77.0189002</v>
      </c>
      <c r="E30" s="4" t="s">
        <v>336</v>
      </c>
      <c r="F30" s="4" t="s">
        <v>1500</v>
      </c>
      <c r="G30" s="4" t="s">
        <v>1512</v>
      </c>
    </row>
    <row r="31" customFormat="false" ht="35.05" hidden="false" customHeight="false" outlineLevel="0" collapsed="false">
      <c r="A31" s="4" t="n">
        <v>852</v>
      </c>
      <c r="B31" s="4" t="s">
        <v>1491</v>
      </c>
      <c r="C31" s="4" t="n">
        <v>38.9170029</v>
      </c>
      <c r="D31" s="4" t="n">
        <v>-77.0319551</v>
      </c>
      <c r="E31" s="4" t="s">
        <v>205</v>
      </c>
      <c r="F31" s="4" t="s">
        <v>1513</v>
      </c>
      <c r="G31" s="4" t="s">
        <v>1514</v>
      </c>
    </row>
    <row r="32" customFormat="false" ht="35.05" hidden="false" customHeight="false" outlineLevel="0" collapsed="false">
      <c r="A32" s="4" t="n">
        <v>1109</v>
      </c>
      <c r="B32" s="4" t="s">
        <v>1491</v>
      </c>
      <c r="C32" s="4" t="n">
        <v>38.9170029</v>
      </c>
      <c r="D32" s="4" t="n">
        <v>-77.0270379</v>
      </c>
      <c r="E32" s="4" t="s">
        <v>205</v>
      </c>
      <c r="F32" s="4" t="s">
        <v>1494</v>
      </c>
      <c r="G32" s="4" t="s">
        <v>1515</v>
      </c>
    </row>
    <row r="33" customFormat="false" ht="35.05" hidden="false" customHeight="false" outlineLevel="0" collapsed="false">
      <c r="A33" s="4" t="n">
        <v>1500</v>
      </c>
      <c r="B33" s="4" t="s">
        <v>1491</v>
      </c>
      <c r="C33" s="4" t="n">
        <v>38.9166094</v>
      </c>
      <c r="D33" s="4" t="n">
        <v>-77.0219128</v>
      </c>
      <c r="E33" s="4" t="s">
        <v>205</v>
      </c>
      <c r="F33" s="4" t="s">
        <v>1496</v>
      </c>
      <c r="G33" s="4" t="s">
        <v>1516</v>
      </c>
    </row>
    <row r="34" customFormat="false" ht="35.05" hidden="false" customHeight="false" outlineLevel="0" collapsed="false">
      <c r="A34" s="4" t="n">
        <v>1518</v>
      </c>
      <c r="B34" s="4" t="s">
        <v>1491</v>
      </c>
      <c r="C34" s="4" t="n">
        <v>38.8983219</v>
      </c>
      <c r="D34" s="4" t="n">
        <v>-77.0189002</v>
      </c>
      <c r="E34" s="4" t="s">
        <v>482</v>
      </c>
      <c r="F34" s="4" t="s">
        <v>392</v>
      </c>
      <c r="G34" s="4" t="s">
        <v>1517</v>
      </c>
    </row>
    <row r="35" customFormat="false" ht="35.05" hidden="false" customHeight="false" outlineLevel="0" collapsed="false">
      <c r="A35" s="4" t="n">
        <v>1271</v>
      </c>
      <c r="B35" s="4" t="s">
        <v>1491</v>
      </c>
      <c r="C35" s="4" t="n">
        <v>38.8812692</v>
      </c>
      <c r="D35" s="4" t="n">
        <v>-76.9949892</v>
      </c>
      <c r="E35" s="4" t="s">
        <v>121</v>
      </c>
      <c r="F35" s="4" t="s">
        <v>695</v>
      </c>
      <c r="G35" s="4" t="s">
        <v>1518</v>
      </c>
    </row>
    <row r="36" customFormat="false" ht="35.05" hidden="false" customHeight="false" outlineLevel="0" collapsed="false">
      <c r="A36" s="4" t="n">
        <v>1347</v>
      </c>
      <c r="B36" s="4" t="s">
        <v>1491</v>
      </c>
      <c r="C36" s="4" t="n">
        <v>38.8934051</v>
      </c>
      <c r="D36" s="4" t="n">
        <v>-77.0219186</v>
      </c>
      <c r="E36" s="4" t="s">
        <v>121</v>
      </c>
      <c r="F36" s="4" t="s">
        <v>1496</v>
      </c>
      <c r="G36" s="4" t="s">
        <v>1519</v>
      </c>
    </row>
    <row r="37" customFormat="false" ht="35.05" hidden="false" customHeight="false" outlineLevel="0" collapsed="false">
      <c r="A37" s="4" t="n">
        <v>516</v>
      </c>
      <c r="B37" s="4" t="s">
        <v>1491</v>
      </c>
      <c r="C37" s="4" t="n">
        <v>38.898245</v>
      </c>
      <c r="D37" s="4" t="n">
        <v>-77.0708601</v>
      </c>
      <c r="E37" s="4" t="s">
        <v>685</v>
      </c>
      <c r="F37" s="4" t="s">
        <v>1520</v>
      </c>
      <c r="G37" s="4" t="s">
        <v>1521</v>
      </c>
    </row>
    <row r="38" customFormat="false" ht="35.05" hidden="false" customHeight="false" outlineLevel="0" collapsed="false">
      <c r="A38" s="4" t="n">
        <v>796</v>
      </c>
      <c r="B38" s="4" t="s">
        <v>1491</v>
      </c>
      <c r="C38" s="4" t="n">
        <v>38.8946038</v>
      </c>
      <c r="D38" s="4" t="n">
        <v>-77.0753272</v>
      </c>
      <c r="E38" s="4" t="s">
        <v>685</v>
      </c>
      <c r="F38" s="4" t="s">
        <v>1522</v>
      </c>
      <c r="G38" s="4" t="s">
        <v>1523</v>
      </c>
    </row>
    <row r="39" customFormat="false" ht="35.05" hidden="false" customHeight="false" outlineLevel="0" collapsed="false">
      <c r="A39" s="4" t="n">
        <v>677</v>
      </c>
      <c r="B39" s="4" t="s">
        <v>1491</v>
      </c>
      <c r="C39" s="4" t="n">
        <v>38.8750045</v>
      </c>
      <c r="D39" s="4" t="n">
        <v>-77.0830724</v>
      </c>
      <c r="E39" s="4" t="s">
        <v>678</v>
      </c>
      <c r="F39" s="4" t="s">
        <v>1522</v>
      </c>
      <c r="G39" s="4" t="s">
        <v>1524</v>
      </c>
    </row>
    <row r="40" customFormat="false" ht="35.05" hidden="false" customHeight="false" outlineLevel="0" collapsed="false">
      <c r="A40" s="4" t="n">
        <v>418</v>
      </c>
      <c r="B40" s="4" t="s">
        <v>1491</v>
      </c>
      <c r="C40" s="4" t="n">
        <v>38.9021033</v>
      </c>
      <c r="D40" s="4" t="n">
        <v>-76.9427176</v>
      </c>
      <c r="E40" s="4" t="s">
        <v>392</v>
      </c>
      <c r="F40" s="4" t="s">
        <v>695</v>
      </c>
      <c r="G40" s="4" t="s">
        <v>1525</v>
      </c>
    </row>
    <row r="41" customFormat="false" ht="35.05" hidden="false" customHeight="false" outlineLevel="0" collapsed="false">
      <c r="A41" s="4" t="n">
        <v>929</v>
      </c>
      <c r="B41" s="4" t="s">
        <v>1491</v>
      </c>
      <c r="C41" s="4" t="n">
        <v>38.909241</v>
      </c>
      <c r="D41" s="4" t="n">
        <v>-77.0053893</v>
      </c>
      <c r="E41" s="4" t="s">
        <v>392</v>
      </c>
      <c r="F41" s="4" t="s">
        <v>1510</v>
      </c>
      <c r="G41" s="4" t="s">
        <v>1526</v>
      </c>
    </row>
    <row r="42" customFormat="false" ht="35.05" hidden="false" customHeight="false" outlineLevel="0" collapsed="false">
      <c r="A42" s="4" t="n">
        <v>935</v>
      </c>
      <c r="B42" s="4" t="s">
        <v>1491</v>
      </c>
      <c r="C42" s="4" t="n">
        <v>38.900199</v>
      </c>
      <c r="D42" s="4" t="n">
        <v>-76.9949604</v>
      </c>
      <c r="E42" s="4" t="s">
        <v>392</v>
      </c>
      <c r="F42" s="4" t="s">
        <v>1492</v>
      </c>
      <c r="G42" s="4" t="s">
        <v>1527</v>
      </c>
    </row>
    <row r="43" customFormat="false" ht="35.05" hidden="false" customHeight="false" outlineLevel="0" collapsed="false">
      <c r="A43" s="4" t="n">
        <v>973</v>
      </c>
      <c r="B43" s="4" t="s">
        <v>1491</v>
      </c>
      <c r="C43" s="4" t="n">
        <v>38.8935815</v>
      </c>
      <c r="D43" s="4" t="n">
        <v>-76.9949604</v>
      </c>
      <c r="E43" s="4" t="s">
        <v>392</v>
      </c>
      <c r="F43" s="4" t="s">
        <v>1494</v>
      </c>
      <c r="G43" s="4" t="s">
        <v>1528</v>
      </c>
    </row>
    <row r="44" customFormat="false" ht="35.05" hidden="false" customHeight="false" outlineLevel="0" collapsed="false">
      <c r="A44" s="4" t="n">
        <v>979</v>
      </c>
      <c r="B44" s="4" t="s">
        <v>1491</v>
      </c>
      <c r="C44" s="4" t="n">
        <v>38.8947802</v>
      </c>
      <c r="D44" s="4" t="n">
        <v>-76.9949604</v>
      </c>
      <c r="E44" s="4" t="s">
        <v>392</v>
      </c>
      <c r="F44" s="4" t="s">
        <v>1494</v>
      </c>
      <c r="G44" s="4" t="s">
        <v>1528</v>
      </c>
    </row>
    <row r="45" customFormat="false" ht="35.05" hidden="false" customHeight="false" outlineLevel="0" collapsed="false">
      <c r="A45" s="4" t="n">
        <v>1081</v>
      </c>
      <c r="B45" s="4" t="s">
        <v>1491</v>
      </c>
      <c r="C45" s="4" t="n">
        <v>38.8898091</v>
      </c>
      <c r="D45" s="4" t="n">
        <v>-76.9949662</v>
      </c>
      <c r="E45" s="4" t="s">
        <v>392</v>
      </c>
      <c r="F45" s="4" t="s">
        <v>1513</v>
      </c>
      <c r="G45" s="4" t="s">
        <v>1529</v>
      </c>
    </row>
    <row r="46" customFormat="false" ht="35.05" hidden="false" customHeight="false" outlineLevel="0" collapsed="false">
      <c r="A46" s="4" t="n">
        <v>1190</v>
      </c>
      <c r="B46" s="4" t="s">
        <v>1491</v>
      </c>
      <c r="C46" s="4" t="n">
        <v>38.9108106</v>
      </c>
      <c r="D46" s="4" t="n">
        <v>-77.0090946</v>
      </c>
      <c r="E46" s="4" t="s">
        <v>392</v>
      </c>
      <c r="F46" s="4" t="s">
        <v>1510</v>
      </c>
      <c r="G46" s="4" t="s">
        <v>1526</v>
      </c>
    </row>
    <row r="47" customFormat="false" ht="35.05" hidden="false" customHeight="false" outlineLevel="0" collapsed="false">
      <c r="A47" s="4" t="n">
        <v>1229</v>
      </c>
      <c r="B47" s="4" t="s">
        <v>1491</v>
      </c>
      <c r="C47" s="4" t="n">
        <v>38.9054324</v>
      </c>
      <c r="D47" s="4" t="n">
        <v>-77.0148083</v>
      </c>
      <c r="E47" s="4" t="s">
        <v>392</v>
      </c>
      <c r="F47" s="4" t="s">
        <v>1510</v>
      </c>
      <c r="G47" s="4" t="s">
        <v>1526</v>
      </c>
    </row>
    <row r="48" customFormat="false" ht="35.05" hidden="false" customHeight="false" outlineLevel="0" collapsed="false">
      <c r="A48" s="4" t="n">
        <v>1538</v>
      </c>
      <c r="B48" s="4" t="s">
        <v>1491</v>
      </c>
      <c r="C48" s="4" t="n">
        <v>38.8939705</v>
      </c>
      <c r="D48" s="4" t="n">
        <v>-77.0106528</v>
      </c>
      <c r="E48" s="4" t="s">
        <v>392</v>
      </c>
      <c r="F48" s="4" t="s">
        <v>1492</v>
      </c>
      <c r="G48" s="4" t="s">
        <v>1527</v>
      </c>
    </row>
    <row r="49" customFormat="false" ht="35.05" hidden="false" customHeight="false" outlineLevel="0" collapsed="false">
      <c r="A49" s="4" t="n">
        <v>740</v>
      </c>
      <c r="B49" s="4" t="s">
        <v>1491</v>
      </c>
      <c r="C49" s="4" t="n">
        <v>38.9562285</v>
      </c>
      <c r="D49" s="4" t="n">
        <v>-77.0280248</v>
      </c>
      <c r="E49" s="4" t="s">
        <v>555</v>
      </c>
      <c r="F49" s="4" t="s">
        <v>617</v>
      </c>
      <c r="G49" s="4" t="s">
        <v>1530</v>
      </c>
    </row>
    <row r="50" customFormat="false" ht="35.05" hidden="false" customHeight="false" outlineLevel="0" collapsed="false">
      <c r="A50" s="4" t="n">
        <v>1424</v>
      </c>
      <c r="B50" s="4" t="s">
        <v>1491</v>
      </c>
      <c r="C50" s="4" t="n">
        <v>38.8986068</v>
      </c>
      <c r="D50" s="4" t="n">
        <v>-77.0707678</v>
      </c>
      <c r="E50" s="4" t="s">
        <v>607</v>
      </c>
      <c r="F50" s="4" t="s">
        <v>1531</v>
      </c>
      <c r="G50" s="4" t="s">
        <v>1532</v>
      </c>
    </row>
    <row r="51" customFormat="false" ht="35.05" hidden="false" customHeight="false" outlineLevel="0" collapsed="false">
      <c r="A51" s="4" t="n">
        <v>788</v>
      </c>
      <c r="B51" s="4" t="s">
        <v>1491</v>
      </c>
      <c r="C51" s="4" t="n">
        <v>38.9400986</v>
      </c>
      <c r="D51" s="4" t="n">
        <v>-77.0753387</v>
      </c>
      <c r="E51" s="4" t="s">
        <v>1533</v>
      </c>
      <c r="F51" s="4" t="s">
        <v>1496</v>
      </c>
      <c r="G51" s="4" t="s">
        <v>1534</v>
      </c>
    </row>
    <row r="52" customFormat="false" ht="35.05" hidden="false" customHeight="false" outlineLevel="0" collapsed="false">
      <c r="A52" s="4" t="n">
        <v>1177</v>
      </c>
      <c r="B52" s="4" t="s">
        <v>1535</v>
      </c>
      <c r="C52" s="4" t="n">
        <v>38.8948073</v>
      </c>
      <c r="D52" s="4" t="n">
        <v>-77.0162857</v>
      </c>
      <c r="E52" s="4" t="s">
        <v>108</v>
      </c>
      <c r="F52" s="4" t="s">
        <v>1494</v>
      </c>
      <c r="G52" s="4" t="s">
        <v>1536</v>
      </c>
    </row>
    <row r="53" customFormat="false" ht="35.05" hidden="false" customHeight="false" outlineLevel="0" collapsed="false">
      <c r="A53" s="4" t="n">
        <v>1291</v>
      </c>
      <c r="B53" s="4" t="s">
        <v>1535</v>
      </c>
      <c r="C53" s="4" t="n">
        <v>38.8988013</v>
      </c>
      <c r="D53" s="4" t="n">
        <v>-77.0336288</v>
      </c>
      <c r="E53" s="4" t="s">
        <v>108</v>
      </c>
      <c r="F53" s="4" t="s">
        <v>1513</v>
      </c>
      <c r="G53" s="4" t="s">
        <v>1537</v>
      </c>
    </row>
    <row r="54" customFormat="false" ht="35.05" hidden="false" customHeight="false" outlineLevel="0" collapsed="false">
      <c r="A54" s="4" t="n">
        <v>1292</v>
      </c>
      <c r="B54" s="4" t="s">
        <v>1535</v>
      </c>
      <c r="C54" s="4" t="n">
        <v>38.9002443</v>
      </c>
      <c r="D54" s="4" t="n">
        <v>-77.0336403</v>
      </c>
      <c r="E54" s="4" t="s">
        <v>108</v>
      </c>
      <c r="F54" s="4" t="s">
        <v>1494</v>
      </c>
      <c r="G54" s="4" t="s">
        <v>1536</v>
      </c>
    </row>
    <row r="55" customFormat="false" ht="35.05" hidden="false" customHeight="false" outlineLevel="0" collapsed="false">
      <c r="A55" s="4" t="n">
        <v>1621</v>
      </c>
      <c r="B55" s="4" t="s">
        <v>1535</v>
      </c>
      <c r="C55" s="4" t="n">
        <v>38.8935725</v>
      </c>
      <c r="D55" s="4" t="n">
        <v>-77.0121707</v>
      </c>
      <c r="E55" s="4" t="s">
        <v>108</v>
      </c>
      <c r="F55" s="4" t="s">
        <v>1500</v>
      </c>
      <c r="G55" s="4" t="s">
        <v>1538</v>
      </c>
    </row>
    <row r="56" customFormat="false" ht="35.05" hidden="false" customHeight="false" outlineLevel="0" collapsed="false">
      <c r="A56" s="4" t="n">
        <v>1471</v>
      </c>
      <c r="B56" s="4" t="s">
        <v>1535</v>
      </c>
      <c r="C56" s="4" t="n">
        <v>38.900294</v>
      </c>
      <c r="D56" s="4" t="n">
        <v>-77.0161876</v>
      </c>
      <c r="E56" s="4" t="s">
        <v>1498</v>
      </c>
      <c r="F56" s="4" t="s">
        <v>1492</v>
      </c>
      <c r="G56" s="4" t="s">
        <v>1539</v>
      </c>
    </row>
    <row r="57" customFormat="false" ht="35.05" hidden="false" customHeight="false" outlineLevel="0" collapsed="false">
      <c r="A57" s="4" t="n">
        <v>1591</v>
      </c>
      <c r="B57" s="4" t="s">
        <v>1535</v>
      </c>
      <c r="C57" s="4" t="n">
        <v>38.8994391</v>
      </c>
      <c r="D57" s="4" t="n">
        <v>-77.0319493</v>
      </c>
      <c r="E57" s="4" t="s">
        <v>1498</v>
      </c>
      <c r="F57" s="4" t="s">
        <v>1492</v>
      </c>
      <c r="G57" s="4" t="s">
        <v>1539</v>
      </c>
    </row>
    <row r="58" customFormat="false" ht="35.05" hidden="false" customHeight="false" outlineLevel="0" collapsed="false">
      <c r="A58" s="4" t="n">
        <v>1113</v>
      </c>
      <c r="B58" s="4" t="s">
        <v>1535</v>
      </c>
      <c r="C58" s="4" t="n">
        <v>38.9169984</v>
      </c>
      <c r="D58" s="4" t="n">
        <v>-77.0239502</v>
      </c>
      <c r="E58" s="4" t="s">
        <v>120</v>
      </c>
      <c r="F58" s="4" t="s">
        <v>1500</v>
      </c>
      <c r="G58" s="4" t="s">
        <v>1540</v>
      </c>
    </row>
    <row r="59" customFormat="false" ht="35.05" hidden="false" customHeight="false" outlineLevel="0" collapsed="false">
      <c r="A59" s="4" t="n">
        <v>1127</v>
      </c>
      <c r="B59" s="4" t="s">
        <v>1535</v>
      </c>
      <c r="C59" s="4" t="n">
        <v>38.8920888</v>
      </c>
      <c r="D59" s="4" t="n">
        <v>-77.0219186</v>
      </c>
      <c r="E59" s="4" t="s">
        <v>120</v>
      </c>
      <c r="F59" s="4" t="s">
        <v>695</v>
      </c>
      <c r="G59" s="4" t="s">
        <v>1541</v>
      </c>
    </row>
    <row r="60" customFormat="false" ht="35.05" hidden="false" customHeight="false" outlineLevel="0" collapsed="false">
      <c r="A60" s="4" t="n">
        <v>1221</v>
      </c>
      <c r="B60" s="4" t="s">
        <v>1535</v>
      </c>
      <c r="C60" s="4" t="n">
        <v>38.902913</v>
      </c>
      <c r="D60" s="4" t="n">
        <v>-77.0240771</v>
      </c>
      <c r="E60" s="4" t="s">
        <v>120</v>
      </c>
      <c r="F60" s="4" t="s">
        <v>1500</v>
      </c>
      <c r="G60" s="4" t="s">
        <v>1540</v>
      </c>
    </row>
    <row r="61" customFormat="false" ht="35.05" hidden="false" customHeight="false" outlineLevel="0" collapsed="false">
      <c r="A61" s="4" t="n">
        <v>1467</v>
      </c>
      <c r="B61" s="4" t="s">
        <v>1535</v>
      </c>
      <c r="C61" s="4" t="n">
        <v>38.9023792</v>
      </c>
      <c r="D61" s="4" t="n">
        <v>-77.0241868</v>
      </c>
      <c r="E61" s="4" t="s">
        <v>120</v>
      </c>
      <c r="F61" s="4" t="s">
        <v>1500</v>
      </c>
      <c r="G61" s="4" t="s">
        <v>1540</v>
      </c>
    </row>
    <row r="62" customFormat="false" ht="35.05" hidden="false" customHeight="false" outlineLevel="0" collapsed="false">
      <c r="A62" s="4" t="n">
        <v>1022</v>
      </c>
      <c r="B62" s="4" t="s">
        <v>1535</v>
      </c>
      <c r="C62" s="4" t="n">
        <v>38.9093541</v>
      </c>
      <c r="D62" s="4" t="n">
        <v>-77.0571934</v>
      </c>
      <c r="E62" s="4" t="s">
        <v>134</v>
      </c>
      <c r="F62" s="4" t="s">
        <v>695</v>
      </c>
      <c r="G62" s="4" t="s">
        <v>1542</v>
      </c>
    </row>
    <row r="63" customFormat="false" ht="35.05" hidden="false" customHeight="false" outlineLevel="0" collapsed="false">
      <c r="A63" s="4" t="n">
        <v>1040</v>
      </c>
      <c r="B63" s="4" t="s">
        <v>1535</v>
      </c>
      <c r="C63" s="4" t="n">
        <v>38.9002216</v>
      </c>
      <c r="D63" s="4" t="n">
        <v>-77.0394521</v>
      </c>
      <c r="E63" s="4" t="s">
        <v>134</v>
      </c>
      <c r="F63" s="4" t="s">
        <v>1494</v>
      </c>
      <c r="G63" s="4" t="s">
        <v>1543</v>
      </c>
    </row>
    <row r="64" customFormat="false" ht="35.05" hidden="false" customHeight="false" outlineLevel="0" collapsed="false">
      <c r="A64" s="4" t="n">
        <v>1155</v>
      </c>
      <c r="B64" s="4" t="s">
        <v>1535</v>
      </c>
      <c r="C64" s="4" t="n">
        <v>38.9162792</v>
      </c>
      <c r="D64" s="4" t="n">
        <v>-77.0219128</v>
      </c>
      <c r="E64" s="4" t="s">
        <v>134</v>
      </c>
      <c r="F64" s="4" t="s">
        <v>1496</v>
      </c>
      <c r="G64" s="4" t="s">
        <v>1544</v>
      </c>
    </row>
    <row r="65" customFormat="false" ht="35.05" hidden="false" customHeight="false" outlineLevel="0" collapsed="false">
      <c r="A65" s="4" t="n">
        <v>1256</v>
      </c>
      <c r="B65" s="4" t="s">
        <v>1535</v>
      </c>
      <c r="C65" s="4" t="n">
        <v>38.9091867</v>
      </c>
      <c r="D65" s="4" t="n">
        <v>-77.0635247</v>
      </c>
      <c r="E65" s="4" t="s">
        <v>134</v>
      </c>
      <c r="F65" s="4" t="s">
        <v>695</v>
      </c>
      <c r="G65" s="4" t="s">
        <v>1542</v>
      </c>
    </row>
    <row r="66" customFormat="false" ht="35.05" hidden="false" customHeight="false" outlineLevel="0" collapsed="false">
      <c r="A66" s="4" t="n">
        <v>1435</v>
      </c>
      <c r="B66" s="4" t="s">
        <v>1535</v>
      </c>
      <c r="C66" s="4" t="n">
        <v>38.9087977</v>
      </c>
      <c r="D66" s="4" t="n">
        <v>-77.0660929</v>
      </c>
      <c r="E66" s="4" t="s">
        <v>134</v>
      </c>
      <c r="F66" s="4" t="s">
        <v>1496</v>
      </c>
      <c r="G66" s="4" t="s">
        <v>1544</v>
      </c>
    </row>
    <row r="67" customFormat="false" ht="35.05" hidden="false" customHeight="false" outlineLevel="0" collapsed="false">
      <c r="A67" s="4" t="n">
        <v>853</v>
      </c>
      <c r="B67" s="4" t="s">
        <v>1535</v>
      </c>
      <c r="C67" s="4" t="n">
        <v>38.8766058</v>
      </c>
      <c r="D67" s="4" t="n">
        <v>-77.0176305</v>
      </c>
      <c r="E67" s="4" t="s">
        <v>250</v>
      </c>
      <c r="F67" s="4" t="s">
        <v>177</v>
      </c>
      <c r="G67" s="4" t="s">
        <v>1545</v>
      </c>
    </row>
    <row r="68" customFormat="false" ht="35.05" hidden="false" customHeight="false" outlineLevel="0" collapsed="false">
      <c r="A68" s="4" t="n">
        <v>1086</v>
      </c>
      <c r="B68" s="4" t="s">
        <v>1535</v>
      </c>
      <c r="C68" s="4" t="n">
        <v>38.8775014</v>
      </c>
      <c r="D68" s="4" t="n">
        <v>-77.0176016</v>
      </c>
      <c r="E68" s="4" t="s">
        <v>250</v>
      </c>
      <c r="F68" s="4" t="s">
        <v>695</v>
      </c>
      <c r="G68" s="4" t="s">
        <v>1546</v>
      </c>
    </row>
    <row r="69" customFormat="false" ht="35.05" hidden="false" customHeight="false" outlineLevel="0" collapsed="false">
      <c r="A69" s="4" t="n">
        <v>1110</v>
      </c>
      <c r="B69" s="4" t="s">
        <v>1535</v>
      </c>
      <c r="C69" s="4" t="n">
        <v>38.9085806</v>
      </c>
      <c r="D69" s="4" t="n">
        <v>-77.0270379</v>
      </c>
      <c r="E69" s="4" t="s">
        <v>250</v>
      </c>
      <c r="F69" s="4" t="s">
        <v>1500</v>
      </c>
      <c r="G69" s="4" t="s">
        <v>1547</v>
      </c>
    </row>
    <row r="70" customFormat="false" ht="35.05" hidden="false" customHeight="false" outlineLevel="0" collapsed="false">
      <c r="A70" s="4" t="n">
        <v>1123</v>
      </c>
      <c r="B70" s="4" t="s">
        <v>1535</v>
      </c>
      <c r="C70" s="4" t="n">
        <v>38.8875339</v>
      </c>
      <c r="D70" s="4" t="n">
        <v>-77.0176016</v>
      </c>
      <c r="E70" s="4" t="s">
        <v>250</v>
      </c>
      <c r="F70" s="4" t="s">
        <v>1496</v>
      </c>
      <c r="G70" s="4" t="s">
        <v>1548</v>
      </c>
    </row>
    <row r="71" customFormat="false" ht="35.05" hidden="false" customHeight="false" outlineLevel="0" collapsed="false">
      <c r="A71" s="4" t="n">
        <v>1134</v>
      </c>
      <c r="B71" s="4" t="s">
        <v>1535</v>
      </c>
      <c r="C71" s="4" t="n">
        <v>38.8864529</v>
      </c>
      <c r="D71" s="4" t="n">
        <v>-77.0220975</v>
      </c>
      <c r="E71" s="4" t="s">
        <v>250</v>
      </c>
      <c r="F71" s="4" t="s">
        <v>1496</v>
      </c>
      <c r="G71" s="4" t="s">
        <v>1548</v>
      </c>
    </row>
    <row r="72" customFormat="false" ht="35.05" hidden="false" customHeight="false" outlineLevel="0" collapsed="false">
      <c r="A72" s="4" t="n">
        <v>1135</v>
      </c>
      <c r="B72" s="4" t="s">
        <v>1535</v>
      </c>
      <c r="C72" s="4" t="n">
        <v>38.8795594</v>
      </c>
      <c r="D72" s="4" t="n">
        <v>-77.0220975</v>
      </c>
      <c r="E72" s="4" t="s">
        <v>250</v>
      </c>
      <c r="F72" s="4" t="s">
        <v>1500</v>
      </c>
      <c r="G72" s="4" t="s">
        <v>1547</v>
      </c>
    </row>
    <row r="73" customFormat="false" ht="35.05" hidden="false" customHeight="false" outlineLevel="0" collapsed="false">
      <c r="A73" s="4" t="n">
        <v>1136</v>
      </c>
      <c r="B73" s="4" t="s">
        <v>1535</v>
      </c>
      <c r="C73" s="4" t="n">
        <v>38.8775963</v>
      </c>
      <c r="D73" s="4" t="n">
        <v>-77.0220052</v>
      </c>
      <c r="E73" s="4" t="s">
        <v>250</v>
      </c>
      <c r="F73" s="4" t="s">
        <v>695</v>
      </c>
      <c r="G73" s="4" t="s">
        <v>1546</v>
      </c>
    </row>
    <row r="74" customFormat="false" ht="35.05" hidden="false" customHeight="false" outlineLevel="0" collapsed="false">
      <c r="A74" s="4" t="n">
        <v>1302</v>
      </c>
      <c r="B74" s="4" t="s">
        <v>1535</v>
      </c>
      <c r="C74" s="4" t="n">
        <v>38.9084947</v>
      </c>
      <c r="D74" s="4" t="n">
        <v>-77.0161703</v>
      </c>
      <c r="E74" s="4" t="s">
        <v>250</v>
      </c>
      <c r="F74" s="4" t="s">
        <v>1500</v>
      </c>
      <c r="G74" s="4" t="s">
        <v>1547</v>
      </c>
    </row>
    <row r="75" customFormat="false" ht="35.05" hidden="false" customHeight="false" outlineLevel="0" collapsed="false">
      <c r="A75" s="4" t="n">
        <v>1616</v>
      </c>
      <c r="B75" s="4" t="s">
        <v>1535</v>
      </c>
      <c r="C75" s="4" t="n">
        <v>38.8790754</v>
      </c>
      <c r="D75" s="4" t="n">
        <v>-77.0219936</v>
      </c>
      <c r="E75" s="4" t="s">
        <v>250</v>
      </c>
      <c r="F75" s="4" t="s">
        <v>1500</v>
      </c>
      <c r="G75" s="4" t="s">
        <v>1547</v>
      </c>
    </row>
    <row r="76" customFormat="false" ht="35.05" hidden="false" customHeight="false" outlineLevel="0" collapsed="false">
      <c r="A76" s="4" t="n">
        <v>1108</v>
      </c>
      <c r="B76" s="4" t="s">
        <v>1535</v>
      </c>
      <c r="C76" s="4" t="n">
        <v>38.9095802</v>
      </c>
      <c r="D76" s="4" t="n">
        <v>-77.0270379</v>
      </c>
      <c r="E76" s="4" t="s">
        <v>1506</v>
      </c>
      <c r="F76" s="4" t="s">
        <v>1500</v>
      </c>
      <c r="G76" s="4" t="s">
        <v>1549</v>
      </c>
    </row>
    <row r="77" customFormat="false" ht="35.05" hidden="false" customHeight="false" outlineLevel="0" collapsed="false">
      <c r="A77" s="4" t="n">
        <v>1243</v>
      </c>
      <c r="B77" s="4" t="s">
        <v>1535</v>
      </c>
      <c r="C77" s="4" t="n">
        <v>38.909639</v>
      </c>
      <c r="D77" s="4" t="n">
        <v>-77.0162915</v>
      </c>
      <c r="E77" s="4" t="s">
        <v>1506</v>
      </c>
      <c r="F77" s="4" t="s">
        <v>695</v>
      </c>
      <c r="G77" s="4" t="s">
        <v>1550</v>
      </c>
    </row>
    <row r="78" customFormat="false" ht="35.05" hidden="false" customHeight="false" outlineLevel="0" collapsed="false">
      <c r="A78" s="4" t="n">
        <v>1016</v>
      </c>
      <c r="B78" s="4" t="s">
        <v>1535</v>
      </c>
      <c r="C78" s="4" t="n">
        <v>38.9097521</v>
      </c>
      <c r="D78" s="4" t="n">
        <v>-77.0442193</v>
      </c>
      <c r="E78" s="4" t="s">
        <v>1551</v>
      </c>
      <c r="F78" s="4" t="s">
        <v>695</v>
      </c>
      <c r="G78" s="4" t="s">
        <v>1552</v>
      </c>
    </row>
    <row r="79" customFormat="false" ht="35.05" hidden="false" customHeight="false" outlineLevel="0" collapsed="false">
      <c r="A79" s="4" t="n">
        <v>802</v>
      </c>
      <c r="B79" s="4" t="s">
        <v>1535</v>
      </c>
      <c r="C79" s="4" t="n">
        <v>38.8812692</v>
      </c>
      <c r="D79" s="4" t="n">
        <v>-76.9959992</v>
      </c>
      <c r="E79" s="4" t="s">
        <v>303</v>
      </c>
      <c r="F79" s="4" t="s">
        <v>177</v>
      </c>
      <c r="G79" s="4" t="s">
        <v>1553</v>
      </c>
    </row>
    <row r="80" customFormat="false" ht="35.05" hidden="false" customHeight="false" outlineLevel="0" collapsed="false">
      <c r="A80" s="4" t="n">
        <v>860</v>
      </c>
      <c r="B80" s="4" t="s">
        <v>1535</v>
      </c>
      <c r="C80" s="4" t="n">
        <v>38.876452</v>
      </c>
      <c r="D80" s="4" t="n">
        <v>-76.9961897</v>
      </c>
      <c r="E80" s="4" t="s">
        <v>303</v>
      </c>
      <c r="F80" s="4" t="s">
        <v>177</v>
      </c>
      <c r="G80" s="4" t="s">
        <v>1553</v>
      </c>
    </row>
    <row r="81" customFormat="false" ht="35.05" hidden="false" customHeight="false" outlineLevel="0" collapsed="false">
      <c r="A81" s="4" t="n">
        <v>1225</v>
      </c>
      <c r="B81" s="4" t="s">
        <v>1535</v>
      </c>
      <c r="C81" s="4" t="n">
        <v>38.9029582</v>
      </c>
      <c r="D81" s="4" t="n">
        <v>-77.0219186</v>
      </c>
      <c r="E81" s="4" t="s">
        <v>303</v>
      </c>
      <c r="F81" s="4" t="s">
        <v>1510</v>
      </c>
      <c r="G81" s="4" t="s">
        <v>1554</v>
      </c>
    </row>
    <row r="82" customFormat="false" ht="35.05" hidden="false" customHeight="false" outlineLevel="0" collapsed="false">
      <c r="A82" s="4" t="n">
        <v>1325</v>
      </c>
      <c r="B82" s="4" t="s">
        <v>1535</v>
      </c>
      <c r="C82" s="4" t="n">
        <v>38.9126018</v>
      </c>
      <c r="D82" s="4" t="n">
        <v>-77.0035078</v>
      </c>
      <c r="E82" s="4" t="s">
        <v>303</v>
      </c>
      <c r="F82" s="4" t="s">
        <v>1510</v>
      </c>
      <c r="G82" s="4" t="s">
        <v>1554</v>
      </c>
    </row>
    <row r="83" customFormat="false" ht="35.05" hidden="false" customHeight="false" outlineLevel="0" collapsed="false">
      <c r="A83" s="4" t="n">
        <v>1329</v>
      </c>
      <c r="B83" s="4" t="s">
        <v>1535</v>
      </c>
      <c r="C83" s="4" t="n">
        <v>38.915569</v>
      </c>
      <c r="D83" s="4" t="n">
        <v>-77.001938</v>
      </c>
      <c r="E83" s="4" t="s">
        <v>303</v>
      </c>
      <c r="F83" s="4" t="s">
        <v>1510</v>
      </c>
      <c r="G83" s="4" t="s">
        <v>1554</v>
      </c>
    </row>
    <row r="84" customFormat="false" ht="35.05" hidden="false" customHeight="false" outlineLevel="0" collapsed="false">
      <c r="A84" s="4" t="n">
        <v>1449</v>
      </c>
      <c r="B84" s="4" t="s">
        <v>1535</v>
      </c>
      <c r="C84" s="4" t="n">
        <v>38.8879139</v>
      </c>
      <c r="D84" s="4" t="n">
        <v>-77.0156509</v>
      </c>
      <c r="E84" s="4" t="s">
        <v>303</v>
      </c>
      <c r="F84" s="4" t="s">
        <v>1500</v>
      </c>
      <c r="G84" s="4" t="s">
        <v>1555</v>
      </c>
    </row>
    <row r="85" customFormat="false" ht="35.05" hidden="false" customHeight="false" outlineLevel="0" collapsed="false">
      <c r="A85" s="4" t="n">
        <v>1293</v>
      </c>
      <c r="B85" s="4" t="s">
        <v>1535</v>
      </c>
      <c r="C85" s="4" t="n">
        <v>38.915569</v>
      </c>
      <c r="D85" s="4" t="n">
        <v>-77.0035078</v>
      </c>
      <c r="E85" s="4" t="s">
        <v>318</v>
      </c>
      <c r="F85" s="4" t="s">
        <v>482</v>
      </c>
      <c r="G85" s="4" t="s">
        <v>1556</v>
      </c>
    </row>
    <row r="86" customFormat="false" ht="35.05" hidden="false" customHeight="false" outlineLevel="0" collapsed="false">
      <c r="A86" s="4" t="n">
        <v>594</v>
      </c>
      <c r="B86" s="4" t="s">
        <v>1535</v>
      </c>
      <c r="C86" s="4" t="n">
        <v>38.9093088</v>
      </c>
      <c r="D86" s="4" t="n">
        <v>-77.06435</v>
      </c>
      <c r="E86" s="4" t="s">
        <v>73</v>
      </c>
      <c r="F86" s="4" t="s">
        <v>695</v>
      </c>
      <c r="G86" s="4" t="s">
        <v>1557</v>
      </c>
    </row>
    <row r="87" customFormat="false" ht="35.05" hidden="false" customHeight="false" outlineLevel="0" collapsed="false">
      <c r="A87" s="4" t="n">
        <v>1119</v>
      </c>
      <c r="B87" s="4" t="s">
        <v>1535</v>
      </c>
      <c r="C87" s="4" t="n">
        <v>38.9074679</v>
      </c>
      <c r="D87" s="4" t="n">
        <v>-77.0091003</v>
      </c>
      <c r="E87" s="4" t="s">
        <v>73</v>
      </c>
      <c r="F87" s="4" t="s">
        <v>1510</v>
      </c>
      <c r="G87" s="4" t="s">
        <v>1558</v>
      </c>
    </row>
    <row r="88" customFormat="false" ht="35.05" hidden="false" customHeight="false" outlineLevel="0" collapsed="false">
      <c r="A88" s="4" t="n">
        <v>1160</v>
      </c>
      <c r="B88" s="4" t="s">
        <v>1535</v>
      </c>
      <c r="C88" s="4" t="n">
        <v>38.9075312</v>
      </c>
      <c r="D88" s="4" t="n">
        <v>-77.0634092</v>
      </c>
      <c r="E88" s="4" t="s">
        <v>73</v>
      </c>
      <c r="F88" s="4" t="s">
        <v>695</v>
      </c>
      <c r="G88" s="4" t="s">
        <v>1557</v>
      </c>
    </row>
    <row r="89" customFormat="false" ht="35.05" hidden="false" customHeight="false" outlineLevel="0" collapsed="false">
      <c r="A89" s="4" t="n">
        <v>1254</v>
      </c>
      <c r="B89" s="4" t="s">
        <v>1535</v>
      </c>
      <c r="C89" s="4" t="n">
        <v>38.9158721</v>
      </c>
      <c r="D89" s="4" t="n">
        <v>-77.0090888</v>
      </c>
      <c r="E89" s="4" t="s">
        <v>73</v>
      </c>
      <c r="F89" s="4" t="s">
        <v>482</v>
      </c>
      <c r="G89" s="4" t="s">
        <v>1559</v>
      </c>
    </row>
    <row r="90" customFormat="false" ht="35.05" hidden="false" customHeight="false" outlineLevel="0" collapsed="false">
      <c r="A90" s="4" t="n">
        <v>1295</v>
      </c>
      <c r="B90" s="4" t="s">
        <v>1535</v>
      </c>
      <c r="C90" s="4" t="n">
        <v>38.9204089</v>
      </c>
      <c r="D90" s="4" t="n">
        <v>-77.0090888</v>
      </c>
      <c r="E90" s="4" t="s">
        <v>73</v>
      </c>
      <c r="F90" s="4" t="s">
        <v>482</v>
      </c>
      <c r="G90" s="4" t="s">
        <v>1559</v>
      </c>
    </row>
    <row r="91" customFormat="false" ht="35.05" hidden="false" customHeight="false" outlineLevel="0" collapsed="false">
      <c r="A91" s="4" t="n">
        <v>1389</v>
      </c>
      <c r="B91" s="4" t="s">
        <v>1535</v>
      </c>
      <c r="C91" s="4" t="n">
        <v>38.9051746</v>
      </c>
      <c r="D91" s="4" t="n">
        <v>-77.062809</v>
      </c>
      <c r="E91" s="4" t="s">
        <v>73</v>
      </c>
      <c r="F91" s="4" t="s">
        <v>1496</v>
      </c>
      <c r="G91" s="4" t="s">
        <v>1560</v>
      </c>
    </row>
    <row r="92" customFormat="false" ht="35.05" hidden="false" customHeight="false" outlineLevel="0" collapsed="false">
      <c r="A92" s="4" t="n">
        <v>1398</v>
      </c>
      <c r="B92" s="4" t="s">
        <v>1535</v>
      </c>
      <c r="C92" s="4" t="n">
        <v>38.8983128</v>
      </c>
      <c r="D92" s="4" t="n">
        <v>-77.0120957</v>
      </c>
      <c r="E92" s="4" t="s">
        <v>73</v>
      </c>
      <c r="F92" s="4" t="s">
        <v>1500</v>
      </c>
      <c r="G92" s="4" t="s">
        <v>1561</v>
      </c>
    </row>
    <row r="93" customFormat="false" ht="35.05" hidden="false" customHeight="false" outlineLevel="0" collapsed="false">
      <c r="A93" s="4" t="n">
        <v>1399</v>
      </c>
      <c r="B93" s="4" t="s">
        <v>1535</v>
      </c>
      <c r="C93" s="4" t="n">
        <v>38.9206758</v>
      </c>
      <c r="D93" s="4" t="n">
        <v>-77.0089907</v>
      </c>
      <c r="E93" s="4" t="s">
        <v>73</v>
      </c>
      <c r="F93" s="4" t="s">
        <v>482</v>
      </c>
      <c r="G93" s="4" t="s">
        <v>1559</v>
      </c>
    </row>
    <row r="94" customFormat="false" ht="35.05" hidden="false" customHeight="false" outlineLevel="0" collapsed="false">
      <c r="A94" s="4" t="n">
        <v>1401</v>
      </c>
      <c r="B94" s="4" t="s">
        <v>1535</v>
      </c>
      <c r="C94" s="4" t="n">
        <v>38.9243532</v>
      </c>
      <c r="D94" s="4" t="n">
        <v>-77.0090946</v>
      </c>
      <c r="E94" s="4" t="s">
        <v>73</v>
      </c>
      <c r="F94" s="4" t="s">
        <v>482</v>
      </c>
      <c r="G94" s="4" t="s">
        <v>1559</v>
      </c>
    </row>
    <row r="95" customFormat="false" ht="35.05" hidden="false" customHeight="false" outlineLevel="0" collapsed="false">
      <c r="A95" s="4" t="n">
        <v>1571</v>
      </c>
      <c r="B95" s="4" t="s">
        <v>1535</v>
      </c>
      <c r="C95" s="4" t="n">
        <v>38.9089379</v>
      </c>
      <c r="D95" s="4" t="n">
        <v>-77.064148</v>
      </c>
      <c r="E95" s="4" t="s">
        <v>73</v>
      </c>
      <c r="F95" s="4" t="s">
        <v>1496</v>
      </c>
      <c r="G95" s="4" t="s">
        <v>1560</v>
      </c>
    </row>
    <row r="96" customFormat="false" ht="35.05" hidden="false" customHeight="false" outlineLevel="0" collapsed="false">
      <c r="A96" s="4" t="n">
        <v>639</v>
      </c>
      <c r="B96" s="4" t="s">
        <v>1535</v>
      </c>
      <c r="C96" s="4" t="n">
        <v>38.9619459</v>
      </c>
      <c r="D96" s="4" t="n">
        <v>-77.0861832</v>
      </c>
      <c r="E96" s="4" t="s">
        <v>336</v>
      </c>
      <c r="F96" s="4" t="s">
        <v>359</v>
      </c>
      <c r="G96" s="4" t="s">
        <v>1562</v>
      </c>
    </row>
    <row r="97" customFormat="false" ht="35.05" hidden="false" customHeight="false" outlineLevel="0" collapsed="false">
      <c r="A97" s="4" t="n">
        <v>1246</v>
      </c>
      <c r="B97" s="4" t="s">
        <v>1535</v>
      </c>
      <c r="C97" s="4" t="n">
        <v>38.8982178</v>
      </c>
      <c r="D97" s="4" t="n">
        <v>-77.0336288</v>
      </c>
      <c r="E97" s="4" t="s">
        <v>336</v>
      </c>
      <c r="F97" s="4" t="s">
        <v>1510</v>
      </c>
      <c r="G97" s="4" t="s">
        <v>1563</v>
      </c>
    </row>
    <row r="98" customFormat="false" ht="35.05" hidden="false" customHeight="false" outlineLevel="0" collapsed="false">
      <c r="A98" s="4" t="n">
        <v>1453</v>
      </c>
      <c r="B98" s="4" t="s">
        <v>1535</v>
      </c>
      <c r="C98" s="4" t="n">
        <v>38.9039217</v>
      </c>
      <c r="D98" s="4" t="n">
        <v>-77.018929</v>
      </c>
      <c r="E98" s="4" t="s">
        <v>336</v>
      </c>
      <c r="F98" s="4" t="s">
        <v>1510</v>
      </c>
      <c r="G98" s="4" t="s">
        <v>1563</v>
      </c>
    </row>
    <row r="99" customFormat="false" ht="35.05" hidden="false" customHeight="false" outlineLevel="0" collapsed="false">
      <c r="A99" s="4" t="n">
        <v>1455</v>
      </c>
      <c r="B99" s="4" t="s">
        <v>1535</v>
      </c>
      <c r="C99" s="4" t="n">
        <v>38.9010901</v>
      </c>
      <c r="D99" s="4" t="n">
        <v>-77.0188194</v>
      </c>
      <c r="E99" s="4" t="s">
        <v>336</v>
      </c>
      <c r="F99" s="4" t="s">
        <v>1492</v>
      </c>
      <c r="G99" s="4" t="s">
        <v>1564</v>
      </c>
    </row>
    <row r="100" customFormat="false" ht="35.05" hidden="false" customHeight="false" outlineLevel="0" collapsed="false">
      <c r="A100" s="4" t="n">
        <v>1488</v>
      </c>
      <c r="B100" s="4" t="s">
        <v>1535</v>
      </c>
      <c r="C100" s="4" t="n">
        <v>38.8998191</v>
      </c>
      <c r="D100" s="4" t="n">
        <v>-77.0188078</v>
      </c>
      <c r="E100" s="4" t="s">
        <v>336</v>
      </c>
      <c r="F100" s="4" t="s">
        <v>1510</v>
      </c>
      <c r="G100" s="4" t="s">
        <v>1563</v>
      </c>
    </row>
    <row r="101" customFormat="false" ht="35.05" hidden="false" customHeight="false" outlineLevel="0" collapsed="false">
      <c r="A101" s="4" t="n">
        <v>884</v>
      </c>
      <c r="B101" s="4" t="s">
        <v>1535</v>
      </c>
      <c r="C101" s="4" t="n">
        <v>38.9418672</v>
      </c>
      <c r="D101" s="4" t="n">
        <v>-77.0255142</v>
      </c>
      <c r="E101" s="4" t="s">
        <v>205</v>
      </c>
      <c r="F101" s="4" t="s">
        <v>1496</v>
      </c>
      <c r="G101" s="4" t="s">
        <v>1565</v>
      </c>
    </row>
    <row r="102" customFormat="false" ht="35.05" hidden="false" customHeight="false" outlineLevel="0" collapsed="false">
      <c r="A102" s="4" t="n">
        <v>951</v>
      </c>
      <c r="B102" s="4" t="s">
        <v>1535</v>
      </c>
      <c r="C102" s="4" t="n">
        <v>38.9736295</v>
      </c>
      <c r="D102" s="4" t="n">
        <v>-77.026882</v>
      </c>
      <c r="E102" s="4" t="s">
        <v>205</v>
      </c>
      <c r="F102" s="4" t="s">
        <v>1496</v>
      </c>
      <c r="G102" s="4" t="s">
        <v>1565</v>
      </c>
    </row>
    <row r="103" customFormat="false" ht="35.05" hidden="false" customHeight="false" outlineLevel="0" collapsed="false">
      <c r="A103" s="4" t="n">
        <v>1001</v>
      </c>
      <c r="B103" s="4" t="s">
        <v>1535</v>
      </c>
      <c r="C103" s="4" t="n">
        <v>38.9299982</v>
      </c>
      <c r="D103" s="4" t="n">
        <v>-77.0233672</v>
      </c>
      <c r="E103" s="4" t="s">
        <v>205</v>
      </c>
      <c r="F103" s="4" t="s">
        <v>121</v>
      </c>
      <c r="G103" s="4" t="s">
        <v>1566</v>
      </c>
    </row>
    <row r="104" customFormat="false" ht="35.05" hidden="false" customHeight="false" outlineLevel="0" collapsed="false">
      <c r="A104" s="4" t="n">
        <v>1101</v>
      </c>
      <c r="B104" s="4" t="s">
        <v>1535</v>
      </c>
      <c r="C104" s="4" t="n">
        <v>38.9170391</v>
      </c>
      <c r="D104" s="4" t="n">
        <v>-77.0416626</v>
      </c>
      <c r="E104" s="4" t="s">
        <v>205</v>
      </c>
      <c r="F104" s="4" t="s">
        <v>217</v>
      </c>
      <c r="G104" s="4" t="s">
        <v>1567</v>
      </c>
    </row>
    <row r="105" customFormat="false" ht="35.05" hidden="false" customHeight="false" outlineLevel="0" collapsed="false">
      <c r="A105" s="4" t="n">
        <v>1636</v>
      </c>
      <c r="B105" s="4" t="s">
        <v>1535</v>
      </c>
      <c r="C105" s="4" t="n">
        <v>38.9167179</v>
      </c>
      <c r="D105" s="4" t="n">
        <v>-77.0229517</v>
      </c>
      <c r="E105" s="4" t="s">
        <v>205</v>
      </c>
      <c r="F105" s="4" t="s">
        <v>1500</v>
      </c>
      <c r="G105" s="4" t="s">
        <v>1568</v>
      </c>
    </row>
    <row r="106" customFormat="false" ht="35.05" hidden="false" customHeight="false" outlineLevel="0" collapsed="false">
      <c r="A106" s="4" t="n">
        <v>1405</v>
      </c>
      <c r="B106" s="4" t="s">
        <v>1535</v>
      </c>
      <c r="C106" s="4" t="n">
        <v>38.8936267</v>
      </c>
      <c r="D106" s="4" t="n">
        <v>-77.0076748</v>
      </c>
      <c r="E106" s="4" t="s">
        <v>482</v>
      </c>
      <c r="F106" s="4" t="s">
        <v>1513</v>
      </c>
      <c r="G106" s="4" t="s">
        <v>1569</v>
      </c>
    </row>
    <row r="107" customFormat="false" ht="35.05" hidden="false" customHeight="false" outlineLevel="0" collapsed="false">
      <c r="A107" s="4" t="n">
        <v>1504</v>
      </c>
      <c r="B107" s="4" t="s">
        <v>1535</v>
      </c>
      <c r="C107" s="4" t="n">
        <v>38.8983219</v>
      </c>
      <c r="D107" s="4" t="n">
        <v>-77.018929</v>
      </c>
      <c r="E107" s="4" t="s">
        <v>482</v>
      </c>
      <c r="F107" s="4" t="s">
        <v>392</v>
      </c>
      <c r="G107" s="4" t="s">
        <v>1570</v>
      </c>
    </row>
    <row r="108" customFormat="false" ht="35.05" hidden="false" customHeight="false" outlineLevel="0" collapsed="false">
      <c r="A108" s="4" t="n">
        <v>1516</v>
      </c>
      <c r="B108" s="4" t="s">
        <v>1535</v>
      </c>
      <c r="C108" s="4" t="n">
        <v>38.8983309</v>
      </c>
      <c r="D108" s="4" t="n">
        <v>-77.0160895</v>
      </c>
      <c r="E108" s="4" t="s">
        <v>482</v>
      </c>
      <c r="F108" s="4" t="s">
        <v>392</v>
      </c>
      <c r="G108" s="4" t="s">
        <v>1570</v>
      </c>
    </row>
    <row r="109" customFormat="false" ht="35.05" hidden="false" customHeight="false" outlineLevel="0" collapsed="false">
      <c r="A109" s="4" t="n">
        <v>1517</v>
      </c>
      <c r="B109" s="4" t="s">
        <v>1535</v>
      </c>
      <c r="C109" s="4" t="n">
        <v>38.8983309</v>
      </c>
      <c r="D109" s="4" t="n">
        <v>-77.0161992</v>
      </c>
      <c r="E109" s="4" t="s">
        <v>482</v>
      </c>
      <c r="F109" s="4" t="s">
        <v>392</v>
      </c>
      <c r="G109" s="4" t="s">
        <v>1570</v>
      </c>
    </row>
    <row r="110" customFormat="false" ht="35.05" hidden="false" customHeight="false" outlineLevel="0" collapsed="false">
      <c r="A110" s="4" t="n">
        <v>1524</v>
      </c>
      <c r="B110" s="4" t="s">
        <v>1535</v>
      </c>
      <c r="C110" s="4" t="n">
        <v>38.8984123</v>
      </c>
      <c r="D110" s="4" t="n">
        <v>-77.013527</v>
      </c>
      <c r="E110" s="4" t="s">
        <v>482</v>
      </c>
      <c r="F110" s="4" t="s">
        <v>392</v>
      </c>
      <c r="G110" s="4" t="s">
        <v>1570</v>
      </c>
    </row>
    <row r="111" customFormat="false" ht="35.05" hidden="false" customHeight="false" outlineLevel="0" collapsed="false">
      <c r="A111" s="4" t="n">
        <v>1664</v>
      </c>
      <c r="B111" s="4" t="s">
        <v>1535</v>
      </c>
      <c r="C111" s="4" t="n">
        <v>38.893586</v>
      </c>
      <c r="D111" s="4" t="n">
        <v>-77.0107971</v>
      </c>
      <c r="E111" s="4" t="s">
        <v>482</v>
      </c>
      <c r="F111" s="4" t="s">
        <v>392</v>
      </c>
      <c r="G111" s="4" t="s">
        <v>1570</v>
      </c>
    </row>
    <row r="112" customFormat="false" ht="35.05" hidden="false" customHeight="false" outlineLevel="0" collapsed="false">
      <c r="A112" s="4" t="n">
        <v>905</v>
      </c>
      <c r="B112" s="4" t="s">
        <v>1535</v>
      </c>
      <c r="C112" s="4" t="n">
        <v>38.8877194</v>
      </c>
      <c r="D112" s="4" t="n">
        <v>-77.0319609</v>
      </c>
      <c r="E112" s="4" t="s">
        <v>121</v>
      </c>
      <c r="F112" s="4" t="s">
        <v>1500</v>
      </c>
      <c r="G112" s="4" t="s">
        <v>1571</v>
      </c>
    </row>
    <row r="113" customFormat="false" ht="35.05" hidden="false" customHeight="false" outlineLevel="0" collapsed="false">
      <c r="A113" s="4" t="n">
        <v>972</v>
      </c>
      <c r="B113" s="4" t="s">
        <v>1535</v>
      </c>
      <c r="C113" s="4" t="n">
        <v>38.8988194</v>
      </c>
      <c r="D113" s="4" t="n">
        <v>-77.0394579</v>
      </c>
      <c r="E113" s="4" t="s">
        <v>121</v>
      </c>
      <c r="F113" s="4" t="s">
        <v>1494</v>
      </c>
      <c r="G113" s="4" t="s">
        <v>1572</v>
      </c>
    </row>
    <row r="114" customFormat="false" ht="35.05" hidden="false" customHeight="false" outlineLevel="0" collapsed="false">
      <c r="A114" s="4" t="n">
        <v>1100</v>
      </c>
      <c r="B114" s="4" t="s">
        <v>1535</v>
      </c>
      <c r="C114" s="4" t="n">
        <v>38.8955808</v>
      </c>
      <c r="D114" s="4" t="n">
        <v>-77.0319493</v>
      </c>
      <c r="E114" s="4" t="s">
        <v>121</v>
      </c>
      <c r="F114" s="4" t="s">
        <v>1513</v>
      </c>
      <c r="G114" s="4" t="s">
        <v>1573</v>
      </c>
    </row>
    <row r="115" customFormat="false" ht="35.05" hidden="false" customHeight="false" outlineLevel="0" collapsed="false">
      <c r="A115" s="4" t="n">
        <v>1146</v>
      </c>
      <c r="B115" s="4" t="s">
        <v>1535</v>
      </c>
      <c r="C115" s="4" t="n">
        <v>38.8908811</v>
      </c>
      <c r="D115" s="4" t="n">
        <v>-77.01224</v>
      </c>
      <c r="E115" s="4" t="s">
        <v>121</v>
      </c>
      <c r="F115" s="4" t="s">
        <v>1500</v>
      </c>
      <c r="G115" s="4" t="s">
        <v>1571</v>
      </c>
    </row>
    <row r="116" customFormat="false" ht="35.05" hidden="false" customHeight="false" outlineLevel="0" collapsed="false">
      <c r="A116" s="4" t="n">
        <v>1176</v>
      </c>
      <c r="B116" s="4" t="s">
        <v>1535</v>
      </c>
      <c r="C116" s="4" t="n">
        <v>38.8939705</v>
      </c>
      <c r="D116" s="4" t="n">
        <v>-77.023979</v>
      </c>
      <c r="E116" s="4" t="s">
        <v>121</v>
      </c>
      <c r="F116" s="4" t="s">
        <v>1500</v>
      </c>
      <c r="G116" s="4" t="s">
        <v>1571</v>
      </c>
    </row>
    <row r="117" customFormat="false" ht="35.05" hidden="false" customHeight="false" outlineLevel="0" collapsed="false">
      <c r="A117" s="4" t="n">
        <v>1212</v>
      </c>
      <c r="B117" s="4" t="s">
        <v>1535</v>
      </c>
      <c r="C117" s="4" t="n">
        <v>38.9041116</v>
      </c>
      <c r="D117" s="4" t="n">
        <v>-77.0546483</v>
      </c>
      <c r="E117" s="4" t="s">
        <v>121</v>
      </c>
      <c r="F117" s="4" t="s">
        <v>1510</v>
      </c>
      <c r="G117" s="4" t="s">
        <v>1574</v>
      </c>
    </row>
    <row r="118" customFormat="false" ht="35.05" hidden="false" customHeight="false" outlineLevel="0" collapsed="false">
      <c r="A118" s="4" t="n">
        <v>1248</v>
      </c>
      <c r="B118" s="4" t="s">
        <v>1535</v>
      </c>
      <c r="C118" s="4" t="n">
        <v>38.8973584</v>
      </c>
      <c r="D118" s="4" t="n">
        <v>-77.0336173</v>
      </c>
      <c r="E118" s="4" t="s">
        <v>121</v>
      </c>
      <c r="F118" s="4" t="s">
        <v>1494</v>
      </c>
      <c r="G118" s="4" t="s">
        <v>1572</v>
      </c>
    </row>
    <row r="119" customFormat="false" ht="35.05" hidden="false" customHeight="false" outlineLevel="0" collapsed="false">
      <c r="A119" s="4" t="n">
        <v>1270</v>
      </c>
      <c r="B119" s="4" t="s">
        <v>1535</v>
      </c>
      <c r="C119" s="4" t="n">
        <v>38.876452</v>
      </c>
      <c r="D119" s="4" t="n">
        <v>-76.9949777</v>
      </c>
      <c r="E119" s="4" t="s">
        <v>121</v>
      </c>
      <c r="F119" s="4" t="s">
        <v>177</v>
      </c>
      <c r="G119" s="4" t="s">
        <v>1575</v>
      </c>
    </row>
    <row r="120" customFormat="false" ht="35.05" hidden="false" customHeight="false" outlineLevel="0" collapsed="false">
      <c r="A120" s="4" t="n">
        <v>1377</v>
      </c>
      <c r="B120" s="4" t="s">
        <v>1535</v>
      </c>
      <c r="C120" s="4" t="n">
        <v>38.9052379</v>
      </c>
      <c r="D120" s="4" t="n">
        <v>-77.0578918</v>
      </c>
      <c r="E120" s="4" t="s">
        <v>121</v>
      </c>
      <c r="F120" s="4" t="s">
        <v>1576</v>
      </c>
      <c r="G120" s="4" t="s">
        <v>1577</v>
      </c>
    </row>
    <row r="121" customFormat="false" ht="35.05" hidden="false" customHeight="false" outlineLevel="0" collapsed="false">
      <c r="A121" s="4" t="n">
        <v>1452</v>
      </c>
      <c r="B121" s="4" t="s">
        <v>1535</v>
      </c>
      <c r="C121" s="4" t="n">
        <v>38.8891487</v>
      </c>
      <c r="D121" s="4" t="n">
        <v>-77.0123612</v>
      </c>
      <c r="E121" s="4" t="s">
        <v>121</v>
      </c>
      <c r="F121" s="4" t="s">
        <v>1500</v>
      </c>
      <c r="G121" s="4" t="s">
        <v>1571</v>
      </c>
    </row>
    <row r="122" customFormat="false" ht="35.05" hidden="false" customHeight="false" outlineLevel="0" collapsed="false">
      <c r="A122" s="4" t="n">
        <v>423</v>
      </c>
      <c r="B122" s="4" t="s">
        <v>1535</v>
      </c>
      <c r="C122" s="4" t="n">
        <v>38.8602452</v>
      </c>
      <c r="D122" s="4" t="n">
        <v>-77.0518145</v>
      </c>
      <c r="E122" s="4" t="s">
        <v>109</v>
      </c>
      <c r="F122" s="4" t="s">
        <v>1520</v>
      </c>
      <c r="G122" s="4" t="s">
        <v>1578</v>
      </c>
    </row>
    <row r="123" customFormat="false" ht="35.05" hidden="false" customHeight="false" outlineLevel="0" collapsed="false">
      <c r="A123" s="4" t="n">
        <v>998</v>
      </c>
      <c r="B123" s="4" t="s">
        <v>1535</v>
      </c>
      <c r="C123" s="4" t="n">
        <v>38.9190022</v>
      </c>
      <c r="D123" s="4" t="n">
        <v>-77.0219013</v>
      </c>
      <c r="E123" s="4" t="s">
        <v>109</v>
      </c>
      <c r="F123" s="4" t="s">
        <v>695</v>
      </c>
      <c r="G123" s="4" t="s">
        <v>1579</v>
      </c>
    </row>
    <row r="124" customFormat="false" ht="35.05" hidden="false" customHeight="false" outlineLevel="0" collapsed="false">
      <c r="A124" s="4" t="n">
        <v>1314</v>
      </c>
      <c r="B124" s="4" t="s">
        <v>1535</v>
      </c>
      <c r="C124" s="4" t="n">
        <v>38.8897006</v>
      </c>
      <c r="D124" s="4" t="n">
        <v>-76.9856915</v>
      </c>
      <c r="E124" s="4" t="s">
        <v>109</v>
      </c>
      <c r="F124" s="4" t="s">
        <v>1513</v>
      </c>
      <c r="G124" s="4" t="s">
        <v>1580</v>
      </c>
    </row>
    <row r="125" customFormat="false" ht="35.05" hidden="false" customHeight="false" outlineLevel="0" collapsed="false">
      <c r="A125" s="4" t="n">
        <v>1338</v>
      </c>
      <c r="B125" s="4" t="s">
        <v>1535</v>
      </c>
      <c r="C125" s="4" t="n">
        <v>38.8898996</v>
      </c>
      <c r="D125" s="4" t="n">
        <v>-76.9915841</v>
      </c>
      <c r="E125" s="4" t="s">
        <v>109</v>
      </c>
      <c r="F125" s="4" t="s">
        <v>1513</v>
      </c>
      <c r="G125" s="4" t="s">
        <v>1580</v>
      </c>
    </row>
    <row r="126" customFormat="false" ht="35.05" hidden="false" customHeight="false" outlineLevel="0" collapsed="false">
      <c r="A126" s="4" t="n">
        <v>1343</v>
      </c>
      <c r="B126" s="4" t="s">
        <v>1535</v>
      </c>
      <c r="C126" s="4" t="n">
        <v>38.8897729</v>
      </c>
      <c r="D126" s="4" t="n">
        <v>-76.9882021</v>
      </c>
      <c r="E126" s="4" t="s">
        <v>109</v>
      </c>
      <c r="F126" s="4" t="s">
        <v>1513</v>
      </c>
      <c r="G126" s="4" t="s">
        <v>1580</v>
      </c>
    </row>
    <row r="127" customFormat="false" ht="35.05" hidden="false" customHeight="false" outlineLevel="0" collapsed="false">
      <c r="A127" s="4" t="n">
        <v>1551</v>
      </c>
      <c r="B127" s="4" t="s">
        <v>1535</v>
      </c>
      <c r="C127" s="4" t="n">
        <v>38.844744</v>
      </c>
      <c r="D127" s="4" t="n">
        <v>-76.9978172</v>
      </c>
      <c r="E127" s="4" t="s">
        <v>109</v>
      </c>
      <c r="F127" s="4" t="s">
        <v>695</v>
      </c>
      <c r="G127" s="4" t="s">
        <v>1579</v>
      </c>
    </row>
    <row r="128" customFormat="false" ht="35.05" hidden="false" customHeight="false" outlineLevel="0" collapsed="false">
      <c r="A128" s="4" t="n">
        <v>1555</v>
      </c>
      <c r="B128" s="4" t="s">
        <v>1535</v>
      </c>
      <c r="C128" s="4" t="n">
        <v>38.8431428</v>
      </c>
      <c r="D128" s="4" t="n">
        <v>-77.0001316</v>
      </c>
      <c r="E128" s="4" t="s">
        <v>109</v>
      </c>
      <c r="F128" s="4" t="s">
        <v>695</v>
      </c>
      <c r="G128" s="4" t="s">
        <v>1579</v>
      </c>
    </row>
    <row r="129" customFormat="false" ht="35.05" hidden="false" customHeight="false" outlineLevel="0" collapsed="false">
      <c r="A129" s="4" t="n">
        <v>1630</v>
      </c>
      <c r="B129" s="4" t="s">
        <v>1535</v>
      </c>
      <c r="C129" s="4" t="n">
        <v>38.8447983</v>
      </c>
      <c r="D129" s="4" t="n">
        <v>-76.9977595</v>
      </c>
      <c r="E129" s="4" t="s">
        <v>109</v>
      </c>
      <c r="F129" s="4" t="s">
        <v>695</v>
      </c>
      <c r="G129" s="4" t="s">
        <v>1579</v>
      </c>
    </row>
    <row r="130" customFormat="false" ht="35.05" hidden="false" customHeight="false" outlineLevel="0" collapsed="false">
      <c r="A130" s="4" t="n">
        <v>1643</v>
      </c>
      <c r="B130" s="4" t="s">
        <v>1535</v>
      </c>
      <c r="C130" s="4" t="n">
        <v>38.8987064</v>
      </c>
      <c r="D130" s="4" t="n">
        <v>-77.0710333</v>
      </c>
      <c r="E130" s="4" t="s">
        <v>109</v>
      </c>
      <c r="F130" s="4" t="s">
        <v>1522</v>
      </c>
      <c r="G130" s="4" t="s">
        <v>1581</v>
      </c>
    </row>
    <row r="131" customFormat="false" ht="35.05" hidden="false" customHeight="false" outlineLevel="0" collapsed="false">
      <c r="A131" s="4" t="n">
        <v>1661</v>
      </c>
      <c r="B131" s="4" t="s">
        <v>1535</v>
      </c>
      <c r="C131" s="4" t="n">
        <v>38.8431156</v>
      </c>
      <c r="D131" s="4" t="n">
        <v>-77.0002008</v>
      </c>
      <c r="E131" s="4" t="s">
        <v>109</v>
      </c>
      <c r="F131" s="4" t="s">
        <v>695</v>
      </c>
      <c r="G131" s="4" t="s">
        <v>1579</v>
      </c>
    </row>
    <row r="132" customFormat="false" ht="35.05" hidden="false" customHeight="false" outlineLevel="0" collapsed="false">
      <c r="A132" s="4" t="n">
        <v>485</v>
      </c>
      <c r="B132" s="4" t="s">
        <v>1535</v>
      </c>
      <c r="C132" s="4" t="n">
        <v>38.9196897</v>
      </c>
      <c r="D132" s="4" t="n">
        <v>-77.0005702</v>
      </c>
      <c r="E132" s="4" t="s">
        <v>346</v>
      </c>
      <c r="F132" s="4" t="s">
        <v>1582</v>
      </c>
      <c r="G132" s="4" t="s">
        <v>1583</v>
      </c>
    </row>
    <row r="133" customFormat="false" ht="35.05" hidden="false" customHeight="false" outlineLevel="0" collapsed="false">
      <c r="A133" s="4" t="n">
        <v>750</v>
      </c>
      <c r="B133" s="4" t="s">
        <v>1535</v>
      </c>
      <c r="C133" s="4" t="n">
        <v>38.9723584</v>
      </c>
      <c r="D133" s="4" t="n">
        <v>-77.0180287</v>
      </c>
      <c r="E133" s="4" t="s">
        <v>346</v>
      </c>
      <c r="F133" s="4" t="s">
        <v>545</v>
      </c>
      <c r="G133" s="4" t="s">
        <v>1584</v>
      </c>
    </row>
    <row r="134" customFormat="false" ht="35.05" hidden="false" customHeight="false" outlineLevel="0" collapsed="false">
      <c r="A134" s="4" t="n">
        <v>928</v>
      </c>
      <c r="B134" s="4" t="s">
        <v>1535</v>
      </c>
      <c r="C134" s="4" t="n">
        <v>38.96001</v>
      </c>
      <c r="D134" s="4" t="n">
        <v>-77.132643</v>
      </c>
      <c r="E134" s="4" t="s">
        <v>346</v>
      </c>
      <c r="F134" s="4" t="s">
        <v>359</v>
      </c>
      <c r="G134" s="4" t="s">
        <v>1585</v>
      </c>
    </row>
    <row r="135" customFormat="false" ht="35.05" hidden="false" customHeight="false" outlineLevel="0" collapsed="false">
      <c r="A135" s="4" t="n">
        <v>1087</v>
      </c>
      <c r="B135" s="4" t="s">
        <v>1535</v>
      </c>
      <c r="C135" s="4" t="n">
        <v>38.9683011</v>
      </c>
      <c r="D135" s="4" t="n">
        <v>-77.1403882</v>
      </c>
      <c r="E135" s="4" t="s">
        <v>346</v>
      </c>
      <c r="F135" s="4" t="s">
        <v>359</v>
      </c>
      <c r="G135" s="4" t="s">
        <v>1585</v>
      </c>
    </row>
    <row r="136" customFormat="false" ht="35.05" hidden="false" customHeight="false" outlineLevel="0" collapsed="false">
      <c r="A136" s="4" t="n">
        <v>1089</v>
      </c>
      <c r="B136" s="4" t="s">
        <v>1535</v>
      </c>
      <c r="C136" s="4" t="n">
        <v>38.972268</v>
      </c>
      <c r="D136" s="4" t="n">
        <v>-77.145242</v>
      </c>
      <c r="E136" s="4" t="s">
        <v>346</v>
      </c>
      <c r="F136" s="4" t="s">
        <v>1496</v>
      </c>
      <c r="G136" s="4" t="s">
        <v>1586</v>
      </c>
    </row>
    <row r="137" customFormat="false" ht="35.05" hidden="false" customHeight="false" outlineLevel="0" collapsed="false">
      <c r="A137" s="4" t="n">
        <v>1090</v>
      </c>
      <c r="B137" s="4" t="s">
        <v>1535</v>
      </c>
      <c r="C137" s="4" t="n">
        <v>38.966157</v>
      </c>
      <c r="D137" s="4" t="n">
        <v>-77.1379238</v>
      </c>
      <c r="E137" s="4" t="s">
        <v>346</v>
      </c>
      <c r="F137" s="4" t="s">
        <v>359</v>
      </c>
      <c r="G137" s="4" t="s">
        <v>1585</v>
      </c>
    </row>
    <row r="138" customFormat="false" ht="35.05" hidden="false" customHeight="false" outlineLevel="0" collapsed="false">
      <c r="A138" s="4" t="n">
        <v>1490</v>
      </c>
      <c r="B138" s="4" t="s">
        <v>1535</v>
      </c>
      <c r="C138" s="4" t="n">
        <v>38.9603266</v>
      </c>
      <c r="D138" s="4" t="n">
        <v>-77.1329085</v>
      </c>
      <c r="E138" s="4" t="s">
        <v>346</v>
      </c>
      <c r="F138" s="4" t="s">
        <v>359</v>
      </c>
      <c r="G138" s="4" t="s">
        <v>1585</v>
      </c>
    </row>
    <row r="139" customFormat="false" ht="35.05" hidden="false" customHeight="false" outlineLevel="0" collapsed="false">
      <c r="A139" s="4" t="n">
        <v>1494</v>
      </c>
      <c r="B139" s="4" t="s">
        <v>1535</v>
      </c>
      <c r="C139" s="4" t="n">
        <v>38.9621902</v>
      </c>
      <c r="D139" s="4" t="n">
        <v>-77.1348592</v>
      </c>
      <c r="E139" s="4" t="s">
        <v>346</v>
      </c>
      <c r="F139" s="4" t="s">
        <v>359</v>
      </c>
      <c r="G139" s="4" t="s">
        <v>1585</v>
      </c>
    </row>
    <row r="140" customFormat="false" ht="35.05" hidden="false" customHeight="false" outlineLevel="0" collapsed="false">
      <c r="A140" s="4" t="n">
        <v>1515</v>
      </c>
      <c r="B140" s="4" t="s">
        <v>1535</v>
      </c>
      <c r="C140" s="4" t="n">
        <v>38.9638954</v>
      </c>
      <c r="D140" s="4" t="n">
        <v>-77.1359847</v>
      </c>
      <c r="E140" s="4" t="s">
        <v>346</v>
      </c>
      <c r="F140" s="4" t="s">
        <v>359</v>
      </c>
      <c r="G140" s="4" t="s">
        <v>1585</v>
      </c>
    </row>
    <row r="141" customFormat="false" ht="35.05" hidden="false" customHeight="false" outlineLevel="0" collapsed="false">
      <c r="A141" s="4" t="n">
        <v>1582</v>
      </c>
      <c r="B141" s="4" t="s">
        <v>1535</v>
      </c>
      <c r="C141" s="4" t="n">
        <v>38.9642663</v>
      </c>
      <c r="D141" s="4" t="n">
        <v>-77.136204</v>
      </c>
      <c r="E141" s="4" t="s">
        <v>346</v>
      </c>
      <c r="F141" s="4" t="s">
        <v>359</v>
      </c>
      <c r="G141" s="4" t="s">
        <v>1585</v>
      </c>
    </row>
    <row r="142" customFormat="false" ht="35.05" hidden="false" customHeight="false" outlineLevel="0" collapsed="false">
      <c r="A142" s="4" t="n">
        <v>1586</v>
      </c>
      <c r="B142" s="4" t="s">
        <v>1535</v>
      </c>
      <c r="C142" s="4" t="n">
        <v>38.9652072</v>
      </c>
      <c r="D142" s="4" t="n">
        <v>-77.1370755</v>
      </c>
      <c r="E142" s="4" t="s">
        <v>346</v>
      </c>
      <c r="F142" s="4" t="s">
        <v>359</v>
      </c>
      <c r="G142" s="4" t="s">
        <v>1585</v>
      </c>
    </row>
    <row r="143" customFormat="false" ht="35.05" hidden="false" customHeight="false" outlineLevel="0" collapsed="false">
      <c r="A143" s="4" t="n">
        <v>936</v>
      </c>
      <c r="B143" s="4" t="s">
        <v>1535</v>
      </c>
      <c r="C143" s="4" t="n">
        <v>38.9313914</v>
      </c>
      <c r="D143" s="4" t="n">
        <v>-77.0005587</v>
      </c>
      <c r="E143" s="4" t="s">
        <v>217</v>
      </c>
      <c r="F143" s="4" t="s">
        <v>1582</v>
      </c>
      <c r="G143" s="4" t="s">
        <v>1587</v>
      </c>
    </row>
    <row r="144" customFormat="false" ht="35.05" hidden="false" customHeight="false" outlineLevel="0" collapsed="false">
      <c r="A144" s="4" t="n">
        <v>952</v>
      </c>
      <c r="B144" s="4" t="s">
        <v>1535</v>
      </c>
      <c r="C144" s="4" t="n">
        <v>38.9226705</v>
      </c>
      <c r="D144" s="4" t="n">
        <v>-77.0426784</v>
      </c>
      <c r="E144" s="4" t="s">
        <v>177</v>
      </c>
      <c r="F144" s="4" t="s">
        <v>1494</v>
      </c>
      <c r="G144" s="4" t="s">
        <v>1588</v>
      </c>
    </row>
    <row r="145" customFormat="false" ht="35.05" hidden="false" customHeight="false" outlineLevel="0" collapsed="false">
      <c r="A145" s="4" t="n">
        <v>1677</v>
      </c>
      <c r="B145" s="4" t="s">
        <v>1535</v>
      </c>
      <c r="C145" s="4" t="n">
        <v>38.9021983</v>
      </c>
      <c r="D145" s="4" t="n">
        <v>-76.9430004</v>
      </c>
      <c r="E145" s="4" t="s">
        <v>177</v>
      </c>
      <c r="F145" s="4" t="s">
        <v>1492</v>
      </c>
      <c r="G145" s="4" t="s">
        <v>1589</v>
      </c>
    </row>
    <row r="146" customFormat="false" ht="35.05" hidden="false" customHeight="false" outlineLevel="0" collapsed="false">
      <c r="A146" s="4" t="n">
        <v>961</v>
      </c>
      <c r="B146" s="4" t="s">
        <v>1535</v>
      </c>
      <c r="C146" s="4" t="n">
        <v>38.9036186</v>
      </c>
      <c r="D146" s="4" t="n">
        <v>-77.0531996</v>
      </c>
      <c r="E146" s="4" t="s">
        <v>493</v>
      </c>
      <c r="F146" s="4" t="s">
        <v>1510</v>
      </c>
      <c r="G146" s="4" t="s">
        <v>1590</v>
      </c>
    </row>
    <row r="147" customFormat="false" ht="35.05" hidden="false" customHeight="false" outlineLevel="0" collapsed="false">
      <c r="A147" s="4" t="n">
        <v>1037</v>
      </c>
      <c r="B147" s="4" t="s">
        <v>1535</v>
      </c>
      <c r="C147" s="4" t="n">
        <v>38.8982676</v>
      </c>
      <c r="D147" s="4" t="n">
        <v>-77.0547521</v>
      </c>
      <c r="E147" s="4" t="s">
        <v>493</v>
      </c>
      <c r="F147" s="4" t="s">
        <v>1510</v>
      </c>
      <c r="G147" s="4" t="s">
        <v>1590</v>
      </c>
    </row>
    <row r="148" customFormat="false" ht="35.05" hidden="false" customHeight="false" outlineLevel="0" collapsed="false">
      <c r="A148" s="4" t="n">
        <v>1099</v>
      </c>
      <c r="B148" s="4" t="s">
        <v>1535</v>
      </c>
      <c r="C148" s="4" t="n">
        <v>38.8841551</v>
      </c>
      <c r="D148" s="4" t="n">
        <v>-76.9949719</v>
      </c>
      <c r="E148" s="4" t="s">
        <v>493</v>
      </c>
      <c r="F148" s="4" t="s">
        <v>1513</v>
      </c>
      <c r="G148" s="4" t="s">
        <v>1591</v>
      </c>
    </row>
    <row r="149" customFormat="false" ht="35.05" hidden="false" customHeight="false" outlineLevel="0" collapsed="false">
      <c r="A149" s="4" t="n">
        <v>1107</v>
      </c>
      <c r="B149" s="4" t="s">
        <v>1535</v>
      </c>
      <c r="C149" s="4" t="n">
        <v>38.8983309</v>
      </c>
      <c r="D149" s="4" t="n">
        <v>-77.0530207</v>
      </c>
      <c r="E149" s="4" t="s">
        <v>493</v>
      </c>
      <c r="F149" s="4" t="s">
        <v>1510</v>
      </c>
      <c r="G149" s="4" t="s">
        <v>1590</v>
      </c>
    </row>
    <row r="150" customFormat="false" ht="35.05" hidden="false" customHeight="false" outlineLevel="0" collapsed="false">
      <c r="A150" s="4" t="n">
        <v>1456</v>
      </c>
      <c r="B150" s="4" t="s">
        <v>1535</v>
      </c>
      <c r="C150" s="4" t="n">
        <v>38.8984214</v>
      </c>
      <c r="D150" s="4" t="n">
        <v>-77.0394579</v>
      </c>
      <c r="E150" s="4" t="s">
        <v>493</v>
      </c>
      <c r="F150" s="4" t="s">
        <v>1510</v>
      </c>
      <c r="G150" s="4" t="s">
        <v>1590</v>
      </c>
    </row>
    <row r="151" customFormat="false" ht="35.05" hidden="false" customHeight="false" outlineLevel="0" collapsed="false">
      <c r="A151" s="4" t="n">
        <v>1691</v>
      </c>
      <c r="B151" s="4" t="s">
        <v>1535</v>
      </c>
      <c r="C151" s="4" t="n">
        <v>38.8787995</v>
      </c>
      <c r="D151" s="4" t="n">
        <v>-76.9837004</v>
      </c>
      <c r="E151" s="4" t="s">
        <v>493</v>
      </c>
      <c r="F151" s="4" t="s">
        <v>1513</v>
      </c>
      <c r="G151" s="4" t="s">
        <v>1591</v>
      </c>
    </row>
    <row r="152" customFormat="false" ht="35.05" hidden="false" customHeight="false" outlineLevel="0" collapsed="false">
      <c r="A152" s="4" t="n">
        <v>1062</v>
      </c>
      <c r="B152" s="4" t="s">
        <v>1535</v>
      </c>
      <c r="C152" s="4" t="n">
        <v>38.9206803</v>
      </c>
      <c r="D152" s="4" t="n">
        <v>-77.0270379</v>
      </c>
      <c r="E152" s="4" t="s">
        <v>359</v>
      </c>
      <c r="F152" s="4" t="s">
        <v>1500</v>
      </c>
      <c r="G152" s="4" t="s">
        <v>1592</v>
      </c>
    </row>
    <row r="153" customFormat="false" ht="35.05" hidden="false" customHeight="false" outlineLevel="0" collapsed="false">
      <c r="A153" s="4" t="n">
        <v>1693</v>
      </c>
      <c r="B153" s="4" t="s">
        <v>1535</v>
      </c>
      <c r="C153" s="4" t="n">
        <v>38.8784015</v>
      </c>
      <c r="D153" s="4" t="n">
        <v>-76.9818016</v>
      </c>
      <c r="E153" s="4" t="s">
        <v>1593</v>
      </c>
      <c r="F153" s="4" t="s">
        <v>607</v>
      </c>
      <c r="G153" s="4" t="s">
        <v>1594</v>
      </c>
    </row>
    <row r="154" customFormat="false" ht="35.05" hidden="false" customHeight="false" outlineLevel="0" collapsed="false">
      <c r="A154" s="4" t="n">
        <v>1</v>
      </c>
      <c r="B154" s="4" t="s">
        <v>1535</v>
      </c>
      <c r="C154" s="4" t="n">
        <v>38.8990727</v>
      </c>
      <c r="D154" s="4" t="n">
        <v>-77.071495</v>
      </c>
      <c r="E154" s="4" t="s">
        <v>685</v>
      </c>
      <c r="F154" s="4" t="s">
        <v>1531</v>
      </c>
      <c r="G154" s="4" t="s">
        <v>1595</v>
      </c>
    </row>
    <row r="155" customFormat="false" ht="35.05" hidden="false" customHeight="false" outlineLevel="0" collapsed="false">
      <c r="A155" s="4" t="n">
        <v>299</v>
      </c>
      <c r="B155" s="4" t="s">
        <v>1535</v>
      </c>
      <c r="C155" s="4" t="n">
        <v>38.9056541</v>
      </c>
      <c r="D155" s="4" t="n">
        <v>-77.0704215</v>
      </c>
      <c r="E155" s="4" t="s">
        <v>685</v>
      </c>
      <c r="F155" s="4" t="s">
        <v>607</v>
      </c>
      <c r="G155" s="4" t="s">
        <v>1596</v>
      </c>
    </row>
    <row r="156" customFormat="false" ht="35.05" hidden="false" customHeight="false" outlineLevel="0" collapsed="false">
      <c r="A156" s="4" t="n">
        <v>1130</v>
      </c>
      <c r="B156" s="4" t="s">
        <v>1535</v>
      </c>
      <c r="C156" s="4" t="n">
        <v>38.9058802</v>
      </c>
      <c r="D156" s="4" t="n">
        <v>-77.0702714</v>
      </c>
      <c r="E156" s="4" t="s">
        <v>685</v>
      </c>
      <c r="F156" s="4" t="s">
        <v>607</v>
      </c>
      <c r="G156" s="4" t="s">
        <v>1596</v>
      </c>
    </row>
    <row r="157" customFormat="false" ht="35.05" hidden="false" customHeight="false" outlineLevel="0" collapsed="false">
      <c r="A157" s="4" t="n">
        <v>1209</v>
      </c>
      <c r="B157" s="4" t="s">
        <v>1535</v>
      </c>
      <c r="C157" s="4" t="n">
        <v>38.8981409</v>
      </c>
      <c r="D157" s="4" t="n">
        <v>-77.0716277</v>
      </c>
      <c r="E157" s="4" t="s">
        <v>685</v>
      </c>
      <c r="F157" s="4" t="s">
        <v>1522</v>
      </c>
      <c r="G157" s="4" t="s">
        <v>1597</v>
      </c>
    </row>
    <row r="158" customFormat="false" ht="35.05" hidden="false" customHeight="false" outlineLevel="0" collapsed="false">
      <c r="A158" s="4" t="n">
        <v>1651</v>
      </c>
      <c r="B158" s="4" t="s">
        <v>1535</v>
      </c>
      <c r="C158" s="4" t="n">
        <v>38.8989913</v>
      </c>
      <c r="D158" s="4" t="n">
        <v>-77.0707389</v>
      </c>
      <c r="E158" s="4" t="s">
        <v>685</v>
      </c>
      <c r="F158" s="4" t="s">
        <v>1522</v>
      </c>
      <c r="G158" s="4" t="s">
        <v>1597</v>
      </c>
    </row>
    <row r="159" customFormat="false" ht="35.05" hidden="false" customHeight="false" outlineLevel="0" collapsed="false">
      <c r="A159" s="4" t="n">
        <v>390</v>
      </c>
      <c r="B159" s="4" t="s">
        <v>1535</v>
      </c>
      <c r="C159" s="4" t="n">
        <v>38.8866112</v>
      </c>
      <c r="D159" s="4" t="n">
        <v>-77.0961447</v>
      </c>
      <c r="E159" s="4" t="s">
        <v>678</v>
      </c>
      <c r="F159" s="4" t="s">
        <v>1522</v>
      </c>
      <c r="G159" s="4" t="s">
        <v>1598</v>
      </c>
    </row>
    <row r="160" customFormat="false" ht="35.05" hidden="false" customHeight="false" outlineLevel="0" collapsed="false">
      <c r="A160" s="4" t="n">
        <v>510</v>
      </c>
      <c r="B160" s="4" t="s">
        <v>1535</v>
      </c>
      <c r="C160" s="4" t="n">
        <v>38.8615886</v>
      </c>
      <c r="D160" s="4" t="n">
        <v>-77.0532747</v>
      </c>
      <c r="E160" s="4" t="s">
        <v>678</v>
      </c>
      <c r="F160" s="4" t="s">
        <v>1520</v>
      </c>
      <c r="G160" s="4" t="s">
        <v>1599</v>
      </c>
    </row>
    <row r="161" customFormat="false" ht="35.05" hidden="false" customHeight="false" outlineLevel="0" collapsed="false">
      <c r="A161" s="4" t="n">
        <v>676</v>
      </c>
      <c r="B161" s="4" t="s">
        <v>1535</v>
      </c>
      <c r="C161" s="4" t="n">
        <v>38.8610458</v>
      </c>
      <c r="D161" s="4" t="n">
        <v>-77.0519242</v>
      </c>
      <c r="E161" s="4" t="s">
        <v>678</v>
      </c>
      <c r="F161" s="4" t="s">
        <v>1522</v>
      </c>
      <c r="G161" s="4" t="s">
        <v>1598</v>
      </c>
    </row>
    <row r="162" customFormat="false" ht="35.05" hidden="false" customHeight="false" outlineLevel="0" collapsed="false">
      <c r="A162" s="4" t="n">
        <v>1589</v>
      </c>
      <c r="B162" s="4" t="s">
        <v>1535</v>
      </c>
      <c r="C162" s="4" t="n">
        <v>38.8614031</v>
      </c>
      <c r="D162" s="4" t="n">
        <v>-77.0528764</v>
      </c>
      <c r="E162" s="4" t="s">
        <v>678</v>
      </c>
      <c r="F162" s="4" t="s">
        <v>1520</v>
      </c>
      <c r="G162" s="4" t="s">
        <v>1599</v>
      </c>
    </row>
    <row r="163" customFormat="false" ht="35.05" hidden="false" customHeight="false" outlineLevel="0" collapsed="false">
      <c r="A163" s="4" t="n">
        <v>1665</v>
      </c>
      <c r="B163" s="4" t="s">
        <v>1535</v>
      </c>
      <c r="C163" s="4" t="n">
        <v>38.8614438</v>
      </c>
      <c r="D163" s="4" t="n">
        <v>-77.0530784</v>
      </c>
      <c r="E163" s="4" t="s">
        <v>678</v>
      </c>
      <c r="F163" s="4" t="s">
        <v>1520</v>
      </c>
      <c r="G163" s="4" t="s">
        <v>1599</v>
      </c>
    </row>
    <row r="164" customFormat="false" ht="35.05" hidden="false" customHeight="false" outlineLevel="0" collapsed="false">
      <c r="A164" s="4" t="n">
        <v>1666</v>
      </c>
      <c r="B164" s="4" t="s">
        <v>1535</v>
      </c>
      <c r="C164" s="4" t="n">
        <v>38.8614076</v>
      </c>
      <c r="D164" s="4" t="n">
        <v>-77.0529976</v>
      </c>
      <c r="E164" s="4" t="s">
        <v>678</v>
      </c>
      <c r="F164" s="4" t="s">
        <v>1520</v>
      </c>
      <c r="G164" s="4" t="s">
        <v>1599</v>
      </c>
    </row>
    <row r="165" customFormat="false" ht="35.05" hidden="false" customHeight="false" outlineLevel="0" collapsed="false">
      <c r="A165" s="4" t="n">
        <v>739</v>
      </c>
      <c r="B165" s="4" t="s">
        <v>1535</v>
      </c>
      <c r="C165" s="4" t="n">
        <v>38.8953953</v>
      </c>
      <c r="D165" s="4" t="n">
        <v>-76.950232</v>
      </c>
      <c r="E165" s="4" t="s">
        <v>392</v>
      </c>
      <c r="F165" s="4" t="s">
        <v>695</v>
      </c>
      <c r="G165" s="4" t="s">
        <v>1600</v>
      </c>
    </row>
    <row r="166" customFormat="false" ht="35.05" hidden="false" customHeight="false" outlineLevel="0" collapsed="false">
      <c r="A166" s="4" t="n">
        <v>888</v>
      </c>
      <c r="B166" s="4" t="s">
        <v>1535</v>
      </c>
      <c r="C166" s="4" t="n">
        <v>38.8812602</v>
      </c>
      <c r="D166" s="4" t="n">
        <v>-76.9806993</v>
      </c>
      <c r="E166" s="4" t="s">
        <v>392</v>
      </c>
      <c r="F166" s="4" t="s">
        <v>607</v>
      </c>
      <c r="G166" s="4" t="s">
        <v>1601</v>
      </c>
    </row>
    <row r="167" customFormat="false" ht="35.05" hidden="false" customHeight="false" outlineLevel="0" collapsed="false">
      <c r="A167" s="4" t="n">
        <v>1005</v>
      </c>
      <c r="B167" s="4" t="s">
        <v>1535</v>
      </c>
      <c r="C167" s="4" t="n">
        <v>38.9137869</v>
      </c>
      <c r="D167" s="4" t="n">
        <v>-77.0158586</v>
      </c>
      <c r="E167" s="4" t="s">
        <v>392</v>
      </c>
      <c r="F167" s="4" t="s">
        <v>695</v>
      </c>
      <c r="G167" s="4" t="s">
        <v>1600</v>
      </c>
    </row>
    <row r="168" customFormat="false" ht="35.05" hidden="false" customHeight="false" outlineLevel="0" collapsed="false">
      <c r="A168" s="4" t="n">
        <v>1015</v>
      </c>
      <c r="B168" s="4" t="s">
        <v>1535</v>
      </c>
      <c r="C168" s="4" t="n">
        <v>38.9138683</v>
      </c>
      <c r="D168" s="4" t="n">
        <v>-77.0162511</v>
      </c>
      <c r="E168" s="4" t="s">
        <v>392</v>
      </c>
      <c r="F168" s="4" t="s">
        <v>695</v>
      </c>
      <c r="G168" s="4" t="s">
        <v>1600</v>
      </c>
    </row>
    <row r="169" customFormat="false" ht="35.05" hidden="false" customHeight="false" outlineLevel="0" collapsed="false">
      <c r="A169" s="4" t="n">
        <v>1082</v>
      </c>
      <c r="B169" s="4" t="s">
        <v>1535</v>
      </c>
      <c r="C169" s="4" t="n">
        <v>38.8898091</v>
      </c>
      <c r="D169" s="4" t="n">
        <v>-77.0059318</v>
      </c>
      <c r="E169" s="4" t="s">
        <v>392</v>
      </c>
      <c r="F169" s="4" t="s">
        <v>1513</v>
      </c>
      <c r="G169" s="4" t="s">
        <v>1602</v>
      </c>
    </row>
    <row r="170" customFormat="false" ht="35.05" hidden="false" customHeight="false" outlineLevel="0" collapsed="false">
      <c r="A170" s="4" t="n">
        <v>1161</v>
      </c>
      <c r="B170" s="4" t="s">
        <v>1535</v>
      </c>
      <c r="C170" s="4" t="n">
        <v>38.8945902</v>
      </c>
      <c r="D170" s="4" t="n">
        <v>-77.0019842</v>
      </c>
      <c r="E170" s="4" t="s">
        <v>392</v>
      </c>
      <c r="F170" s="4" t="s">
        <v>1494</v>
      </c>
      <c r="G170" s="4" t="s">
        <v>1603</v>
      </c>
    </row>
    <row r="171" customFormat="false" ht="35.05" hidden="false" customHeight="false" outlineLevel="0" collapsed="false">
      <c r="A171" s="4" t="n">
        <v>1169</v>
      </c>
      <c r="B171" s="4" t="s">
        <v>1535</v>
      </c>
      <c r="C171" s="4" t="n">
        <v>38.8960195</v>
      </c>
      <c r="D171" s="4" t="n">
        <v>-77.0059549</v>
      </c>
      <c r="E171" s="4" t="s">
        <v>392</v>
      </c>
      <c r="F171" s="4" t="s">
        <v>1494</v>
      </c>
      <c r="G171" s="4" t="s">
        <v>1603</v>
      </c>
    </row>
    <row r="172" customFormat="false" ht="35.05" hidden="false" customHeight="false" outlineLevel="0" collapsed="false">
      <c r="A172" s="4" t="n">
        <v>1187</v>
      </c>
      <c r="B172" s="4" t="s">
        <v>1535</v>
      </c>
      <c r="C172" s="4" t="n">
        <v>38.8973313</v>
      </c>
      <c r="D172" s="4" t="n">
        <v>-76.9949604</v>
      </c>
      <c r="E172" s="4" t="s">
        <v>392</v>
      </c>
      <c r="F172" s="4" t="s">
        <v>1513</v>
      </c>
      <c r="G172" s="4" t="s">
        <v>1602</v>
      </c>
    </row>
    <row r="173" customFormat="false" ht="35.05" hidden="false" customHeight="false" outlineLevel="0" collapsed="false">
      <c r="A173" s="4" t="n">
        <v>1234</v>
      </c>
      <c r="B173" s="4" t="s">
        <v>1535</v>
      </c>
      <c r="C173" s="4" t="n">
        <v>38.9002216</v>
      </c>
      <c r="D173" s="4" t="n">
        <v>-77.0128517</v>
      </c>
      <c r="E173" s="4" t="s">
        <v>392</v>
      </c>
      <c r="F173" s="4" t="s">
        <v>1492</v>
      </c>
      <c r="G173" s="4" t="s">
        <v>1604</v>
      </c>
    </row>
    <row r="174" customFormat="false" ht="35.05" hidden="false" customHeight="false" outlineLevel="0" collapsed="false">
      <c r="A174" s="4" t="n">
        <v>1240</v>
      </c>
      <c r="B174" s="4" t="s">
        <v>1535</v>
      </c>
      <c r="C174" s="4" t="n">
        <v>38.9146599</v>
      </c>
      <c r="D174" s="4" t="n">
        <v>-77.0181326</v>
      </c>
      <c r="E174" s="4" t="s">
        <v>392</v>
      </c>
      <c r="F174" s="4" t="s">
        <v>1513</v>
      </c>
      <c r="G174" s="4" t="s">
        <v>1602</v>
      </c>
    </row>
    <row r="175" customFormat="false" ht="35.05" hidden="false" customHeight="false" outlineLevel="0" collapsed="false">
      <c r="A175" s="4" t="n">
        <v>1263</v>
      </c>
      <c r="B175" s="4" t="s">
        <v>1535</v>
      </c>
      <c r="C175" s="4" t="n">
        <v>38.8876108</v>
      </c>
      <c r="D175" s="4" t="n">
        <v>-77.0059203</v>
      </c>
      <c r="E175" s="4" t="s">
        <v>392</v>
      </c>
      <c r="F175" s="4" t="s">
        <v>1513</v>
      </c>
      <c r="G175" s="4" t="s">
        <v>1602</v>
      </c>
    </row>
    <row r="176" customFormat="false" ht="35.05" hidden="false" customHeight="false" outlineLevel="0" collapsed="false">
      <c r="A176" s="4" t="n">
        <v>1410</v>
      </c>
      <c r="B176" s="4" t="s">
        <v>1535</v>
      </c>
      <c r="C176" s="4" t="n">
        <v>38.8918717</v>
      </c>
      <c r="D176" s="4" t="n">
        <v>-77.0059087</v>
      </c>
      <c r="E176" s="4" t="s">
        <v>392</v>
      </c>
      <c r="F176" s="4" t="s">
        <v>1513</v>
      </c>
      <c r="G176" s="4" t="s">
        <v>1602</v>
      </c>
    </row>
    <row r="177" customFormat="false" ht="35.05" hidden="false" customHeight="false" outlineLevel="0" collapsed="false">
      <c r="A177" s="4" t="n">
        <v>1429</v>
      </c>
      <c r="B177" s="4" t="s">
        <v>1535</v>
      </c>
      <c r="C177" s="4" t="n">
        <v>38.9159897</v>
      </c>
      <c r="D177" s="4" t="n">
        <v>-77.0212318</v>
      </c>
      <c r="E177" s="4" t="s">
        <v>392</v>
      </c>
      <c r="F177" s="4" t="s">
        <v>1513</v>
      </c>
      <c r="G177" s="4" t="s">
        <v>1602</v>
      </c>
    </row>
    <row r="178" customFormat="false" ht="35.05" hidden="false" customHeight="false" outlineLevel="0" collapsed="false">
      <c r="A178" s="4" t="n">
        <v>1460</v>
      </c>
      <c r="B178" s="4" t="s">
        <v>1535</v>
      </c>
      <c r="C178" s="4" t="n">
        <v>38.8975303</v>
      </c>
      <c r="D178" s="4" t="n">
        <v>-77.0091003</v>
      </c>
      <c r="E178" s="4" t="s">
        <v>392</v>
      </c>
      <c r="F178" s="4" t="s">
        <v>1510</v>
      </c>
      <c r="G178" s="4" t="s">
        <v>1605</v>
      </c>
    </row>
    <row r="179" customFormat="false" ht="35.05" hidden="false" customHeight="false" outlineLevel="0" collapsed="false">
      <c r="A179" s="4" t="n">
        <v>1527</v>
      </c>
      <c r="B179" s="4" t="s">
        <v>1535</v>
      </c>
      <c r="C179" s="4" t="n">
        <v>38.8928623</v>
      </c>
      <c r="D179" s="4" t="n">
        <v>-77.0121707</v>
      </c>
      <c r="E179" s="4" t="s">
        <v>392</v>
      </c>
      <c r="F179" s="4" t="s">
        <v>1500</v>
      </c>
      <c r="G179" s="4" t="s">
        <v>1606</v>
      </c>
    </row>
    <row r="180" customFormat="false" ht="35.05" hidden="false" customHeight="false" outlineLevel="0" collapsed="false">
      <c r="A180" s="4" t="n">
        <v>1545</v>
      </c>
      <c r="B180" s="4" t="s">
        <v>1535</v>
      </c>
      <c r="C180" s="4" t="n">
        <v>38.8983581</v>
      </c>
      <c r="D180" s="4" t="n">
        <v>-77.0112184</v>
      </c>
      <c r="E180" s="4" t="s">
        <v>392</v>
      </c>
      <c r="F180" s="4" t="s">
        <v>1510</v>
      </c>
      <c r="G180" s="4" t="s">
        <v>1605</v>
      </c>
    </row>
    <row r="181" customFormat="false" ht="35.05" hidden="false" customHeight="false" outlineLevel="0" collapsed="false">
      <c r="A181" s="4" t="n">
        <v>1578</v>
      </c>
      <c r="B181" s="4" t="s">
        <v>1535</v>
      </c>
      <c r="C181" s="4" t="n">
        <v>38.8988873</v>
      </c>
      <c r="D181" s="4" t="n">
        <v>-77.0122227</v>
      </c>
      <c r="E181" s="4" t="s">
        <v>392</v>
      </c>
      <c r="F181" s="4" t="s">
        <v>1500</v>
      </c>
      <c r="G181" s="4" t="s">
        <v>1606</v>
      </c>
    </row>
    <row r="182" customFormat="false" ht="35.05" hidden="false" customHeight="false" outlineLevel="0" collapsed="false">
      <c r="A182" s="4" t="n">
        <v>447</v>
      </c>
      <c r="B182" s="4" t="s">
        <v>1535</v>
      </c>
      <c r="C182" s="4" t="n">
        <v>38.9000995</v>
      </c>
      <c r="D182" s="4" t="n">
        <v>-76.983608</v>
      </c>
      <c r="E182" s="4" t="s">
        <v>555</v>
      </c>
      <c r="F182" s="4" t="s">
        <v>607</v>
      </c>
      <c r="G182" s="4" t="s">
        <v>1607</v>
      </c>
    </row>
    <row r="183" customFormat="false" ht="35.05" hidden="false" customHeight="false" outlineLevel="0" collapsed="false">
      <c r="A183" s="4" t="n">
        <v>1366</v>
      </c>
      <c r="B183" s="4" t="s">
        <v>1535</v>
      </c>
      <c r="C183" s="4" t="n">
        <v>38.8429618</v>
      </c>
      <c r="D183" s="4" t="n">
        <v>-77.0004605</v>
      </c>
      <c r="E183" s="4" t="s">
        <v>284</v>
      </c>
      <c r="F183" s="4" t="s">
        <v>607</v>
      </c>
      <c r="G183" s="4" t="s">
        <v>1608</v>
      </c>
    </row>
    <row r="184" customFormat="false" ht="35.05" hidden="false" customHeight="false" outlineLevel="0" collapsed="false">
      <c r="A184" s="4" t="n">
        <v>1371</v>
      </c>
      <c r="B184" s="4" t="s">
        <v>1535</v>
      </c>
      <c r="C184" s="4" t="n">
        <v>38.8406369</v>
      </c>
      <c r="D184" s="4" t="n">
        <v>-77.0040388</v>
      </c>
      <c r="E184" s="4" t="s">
        <v>284</v>
      </c>
      <c r="F184" s="4" t="s">
        <v>607</v>
      </c>
      <c r="G184" s="4" t="s">
        <v>1608</v>
      </c>
    </row>
    <row r="185" customFormat="false" ht="35.05" hidden="false" customHeight="false" outlineLevel="0" collapsed="false">
      <c r="A185" s="4" t="n">
        <v>125</v>
      </c>
      <c r="B185" s="4" t="s">
        <v>1535</v>
      </c>
      <c r="C185" s="4" t="n">
        <v>38.9772707</v>
      </c>
      <c r="D185" s="4" t="n">
        <v>-77.0906618</v>
      </c>
      <c r="E185" s="4" t="s">
        <v>524</v>
      </c>
      <c r="F185" s="4" t="s">
        <v>1520</v>
      </c>
      <c r="G185" s="4" t="s">
        <v>1609</v>
      </c>
    </row>
    <row r="186" customFormat="false" ht="35.05" hidden="false" customHeight="false" outlineLevel="0" collapsed="false">
      <c r="A186" s="4" t="n">
        <v>1023</v>
      </c>
      <c r="B186" s="4" t="s">
        <v>1535</v>
      </c>
      <c r="C186" s="4" t="n">
        <v>38.8973584</v>
      </c>
      <c r="D186" s="4" t="n">
        <v>-77.0417088</v>
      </c>
      <c r="E186" s="4" t="s">
        <v>1576</v>
      </c>
      <c r="F186" s="4" t="s">
        <v>1510</v>
      </c>
      <c r="G186" s="4" t="s">
        <v>1610</v>
      </c>
    </row>
    <row r="187" customFormat="false" ht="35.05" hidden="false" customHeight="false" outlineLevel="0" collapsed="false">
      <c r="A187" s="4" t="n">
        <v>1029</v>
      </c>
      <c r="B187" s="4" t="s">
        <v>1535</v>
      </c>
      <c r="C187" s="4" t="n">
        <v>38.8973584</v>
      </c>
      <c r="D187" s="4" t="n">
        <v>-77.043469</v>
      </c>
      <c r="E187" s="4" t="s">
        <v>1576</v>
      </c>
      <c r="F187" s="4" t="s">
        <v>1510</v>
      </c>
      <c r="G187" s="4" t="s">
        <v>1610</v>
      </c>
    </row>
    <row r="188" customFormat="false" ht="35.05" hidden="false" customHeight="false" outlineLevel="0" collapsed="false">
      <c r="A188" s="4" t="n">
        <v>1103</v>
      </c>
      <c r="B188" s="4" t="s">
        <v>1535</v>
      </c>
      <c r="C188" s="4" t="n">
        <v>38.898349</v>
      </c>
      <c r="D188" s="4" t="n">
        <v>-77.043469</v>
      </c>
      <c r="E188" s="4" t="s">
        <v>1576</v>
      </c>
      <c r="F188" s="4" t="s">
        <v>1510</v>
      </c>
      <c r="G188" s="4" t="s">
        <v>1610</v>
      </c>
    </row>
    <row r="189" customFormat="false" ht="35.05" hidden="false" customHeight="false" outlineLevel="0" collapsed="false">
      <c r="A189" s="4" t="n">
        <v>1548</v>
      </c>
      <c r="B189" s="4" t="s">
        <v>1535</v>
      </c>
      <c r="C189" s="4" t="n">
        <v>38.898349</v>
      </c>
      <c r="D189" s="4" t="n">
        <v>-77.0417088</v>
      </c>
      <c r="E189" s="4" t="s">
        <v>1576</v>
      </c>
      <c r="F189" s="4" t="s">
        <v>1510</v>
      </c>
      <c r="G189" s="4" t="s">
        <v>1610</v>
      </c>
    </row>
    <row r="190" customFormat="false" ht="35.05" hidden="false" customHeight="false" outlineLevel="0" collapsed="false">
      <c r="A190" s="4" t="n">
        <v>1191</v>
      </c>
      <c r="B190" s="4" t="s">
        <v>1535</v>
      </c>
      <c r="C190" s="4" t="n">
        <v>38.9005111</v>
      </c>
      <c r="D190" s="4" t="n">
        <v>-77.0707447</v>
      </c>
      <c r="E190" s="4" t="s">
        <v>607</v>
      </c>
      <c r="F190" s="4" t="s">
        <v>1611</v>
      </c>
      <c r="G190" s="4" t="s">
        <v>1612</v>
      </c>
    </row>
    <row r="191" customFormat="false" ht="35.05" hidden="false" customHeight="false" outlineLevel="0" collapsed="false">
      <c r="A191" s="4" t="n">
        <v>1193</v>
      </c>
      <c r="B191" s="4" t="s">
        <v>1535</v>
      </c>
      <c r="C191" s="4" t="n">
        <v>38.9050615</v>
      </c>
      <c r="D191" s="4" t="n">
        <v>-77.0686901</v>
      </c>
      <c r="E191" s="4" t="s">
        <v>607</v>
      </c>
      <c r="F191" s="4" t="s">
        <v>1611</v>
      </c>
      <c r="G191" s="4" t="s">
        <v>1612</v>
      </c>
    </row>
    <row r="192" customFormat="false" ht="35.05" hidden="false" customHeight="false" outlineLevel="0" collapsed="false">
      <c r="A192" s="4" t="n">
        <v>1141</v>
      </c>
      <c r="B192" s="4" t="s">
        <v>1535</v>
      </c>
      <c r="C192" s="4" t="n">
        <v>38.8929709</v>
      </c>
      <c r="D192" s="4" t="n">
        <v>-77.0203719</v>
      </c>
      <c r="E192" s="4" t="s">
        <v>617</v>
      </c>
      <c r="F192" s="4" t="s">
        <v>1494</v>
      </c>
      <c r="G192" s="4" t="s">
        <v>1613</v>
      </c>
    </row>
    <row r="193" customFormat="false" ht="35.05" hidden="false" customHeight="false" outlineLevel="0" collapsed="false">
      <c r="A193" s="4" t="n">
        <v>1153</v>
      </c>
      <c r="B193" s="4" t="s">
        <v>1535</v>
      </c>
      <c r="C193" s="4" t="n">
        <v>38.8936494</v>
      </c>
      <c r="D193" s="4" t="n">
        <v>-77.0125228</v>
      </c>
      <c r="E193" s="4" t="s">
        <v>617</v>
      </c>
      <c r="F193" s="4" t="s">
        <v>1494</v>
      </c>
      <c r="G193" s="4" t="s">
        <v>1613</v>
      </c>
    </row>
    <row r="194" customFormat="false" ht="35.05" hidden="false" customHeight="false" outlineLevel="0" collapsed="false">
      <c r="A194" s="4" t="n">
        <v>1305</v>
      </c>
      <c r="B194" s="4" t="s">
        <v>1535</v>
      </c>
      <c r="C194" s="4" t="n">
        <v>38.9059797</v>
      </c>
      <c r="D194" s="4" t="n">
        <v>-77.0628321</v>
      </c>
      <c r="E194" s="4" t="s">
        <v>617</v>
      </c>
      <c r="F194" s="4" t="s">
        <v>1496</v>
      </c>
      <c r="G194" s="4" t="s">
        <v>1614</v>
      </c>
    </row>
    <row r="195" customFormat="false" ht="35.05" hidden="false" customHeight="false" outlineLevel="0" collapsed="false">
      <c r="A195" s="4" t="n">
        <v>1309</v>
      </c>
      <c r="B195" s="4" t="s">
        <v>1535</v>
      </c>
      <c r="C195" s="4" t="n">
        <v>38.9050796</v>
      </c>
      <c r="D195" s="4" t="n">
        <v>-77.0678359</v>
      </c>
      <c r="E195" s="4" t="s">
        <v>617</v>
      </c>
      <c r="F195" s="4" t="s">
        <v>1496</v>
      </c>
      <c r="G195" s="4" t="s">
        <v>1614</v>
      </c>
    </row>
    <row r="196" customFormat="false" ht="35.05" hidden="false" customHeight="false" outlineLevel="0" collapsed="false">
      <c r="A196" s="4" t="n">
        <v>1262</v>
      </c>
      <c r="B196" s="4" t="s">
        <v>1535</v>
      </c>
      <c r="C196" s="4" t="n">
        <v>38.8875882</v>
      </c>
      <c r="D196" s="4" t="n">
        <v>-77.0121476</v>
      </c>
      <c r="E196" s="4" t="s">
        <v>1615</v>
      </c>
      <c r="F196" s="4" t="s">
        <v>1496</v>
      </c>
      <c r="G196" s="4" t="s">
        <v>1616</v>
      </c>
    </row>
    <row r="197" customFormat="false" ht="35.05" hidden="false" customHeight="false" outlineLevel="0" collapsed="false">
      <c r="A197" s="4" t="n">
        <v>1304</v>
      </c>
      <c r="B197" s="4" t="s">
        <v>1535</v>
      </c>
      <c r="C197" s="4" t="n">
        <v>38.8875701</v>
      </c>
      <c r="D197" s="4" t="n">
        <v>-77.0219244</v>
      </c>
      <c r="E197" s="4" t="s">
        <v>1615</v>
      </c>
      <c r="F197" s="4" t="s">
        <v>1496</v>
      </c>
      <c r="G197" s="4" t="s">
        <v>1616</v>
      </c>
    </row>
    <row r="198" customFormat="false" ht="35.05" hidden="false" customHeight="false" outlineLevel="0" collapsed="false">
      <c r="A198" s="4" t="n">
        <v>610</v>
      </c>
      <c r="B198" s="4" t="s">
        <v>1535</v>
      </c>
      <c r="C198" s="4" t="n">
        <v>38.9388909</v>
      </c>
      <c r="D198" s="4" t="n">
        <v>-77.074675</v>
      </c>
      <c r="E198" s="4" t="s">
        <v>1533</v>
      </c>
      <c r="F198" s="4" t="s">
        <v>1496</v>
      </c>
      <c r="G198" s="4" t="s">
        <v>1617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34"/>
    <col collapsed="false" customWidth="true" hidden="false" outlineLevel="0" max="5" min="5" style="0" width="80"/>
    <col collapsed="false" customWidth="true" hidden="false" outlineLevel="0" max="6" min="6" style="0" width="20"/>
  </cols>
  <sheetData>
    <row r="1" customFormat="false" ht="15" hidden="false" customHeight="false" outlineLevel="0" collapsed="false">
      <c r="A1" s="11" t="s">
        <v>1618</v>
      </c>
      <c r="B1" s="11" t="s">
        <v>1619</v>
      </c>
      <c r="C1" s="11" t="s">
        <v>1620</v>
      </c>
      <c r="D1" s="11" t="s">
        <v>1621</v>
      </c>
      <c r="E1" s="11" t="s">
        <v>1622</v>
      </c>
      <c r="F1" s="11" t="s">
        <v>46</v>
      </c>
    </row>
    <row r="2" customFormat="false" ht="23.85" hidden="false" customHeight="false" outlineLevel="0" collapsed="false">
      <c r="A2" s="4" t="n">
        <v>1862</v>
      </c>
      <c r="B2" s="4" t="s">
        <v>1623</v>
      </c>
      <c r="C2" s="4" t="s">
        <v>51</v>
      </c>
      <c r="D2" s="4" t="s">
        <v>52</v>
      </c>
      <c r="E2" s="4" t="s">
        <v>1624</v>
      </c>
      <c r="F2" s="4" t="s">
        <v>1625</v>
      </c>
    </row>
    <row r="3" customFormat="false" ht="23.85" hidden="false" customHeight="false" outlineLevel="0" collapsed="false">
      <c r="A3" s="4" t="n">
        <v>1862</v>
      </c>
      <c r="B3" s="4" t="s">
        <v>1626</v>
      </c>
      <c r="C3" s="4" t="s">
        <v>51</v>
      </c>
      <c r="D3" s="4" t="s">
        <v>52</v>
      </c>
      <c r="E3" s="4" t="s">
        <v>1627</v>
      </c>
      <c r="F3" s="4" t="s">
        <v>1628</v>
      </c>
    </row>
    <row r="4" customFormat="false" ht="23.85" hidden="false" customHeight="false" outlineLevel="0" collapsed="false">
      <c r="A4" s="4" t="n">
        <v>1862</v>
      </c>
      <c r="B4" s="4" t="s">
        <v>1629</v>
      </c>
      <c r="C4" s="4" t="s">
        <v>51</v>
      </c>
      <c r="D4" s="4" t="s">
        <v>52</v>
      </c>
      <c r="E4" s="4" t="s">
        <v>1630</v>
      </c>
      <c r="F4" s="4" t="s">
        <v>1631</v>
      </c>
    </row>
    <row r="5" customFormat="false" ht="23.85" hidden="false" customHeight="false" outlineLevel="0" collapsed="false">
      <c r="A5" s="4" t="n">
        <v>1862</v>
      </c>
      <c r="B5" s="4" t="s">
        <v>1632</v>
      </c>
      <c r="C5" s="4" t="s">
        <v>51</v>
      </c>
      <c r="D5" s="4" t="s">
        <v>52</v>
      </c>
      <c r="E5" s="4" t="s">
        <v>1633</v>
      </c>
      <c r="F5" s="4" t="s">
        <v>1631</v>
      </c>
    </row>
    <row r="6" customFormat="false" ht="23.85" hidden="false" customHeight="false" outlineLevel="0" collapsed="false">
      <c r="A6" s="4" t="n">
        <v>1862</v>
      </c>
      <c r="B6" s="4" t="s">
        <v>1634</v>
      </c>
      <c r="C6" s="4" t="s">
        <v>51</v>
      </c>
      <c r="D6" s="4" t="s">
        <v>52</v>
      </c>
      <c r="E6" s="4" t="s">
        <v>1635</v>
      </c>
      <c r="F6" s="4" t="s">
        <v>1636</v>
      </c>
    </row>
    <row r="7" customFormat="false" ht="15" hidden="false" customHeight="false" outlineLevel="0" collapsed="false">
      <c r="A7" s="4" t="n">
        <v>1862</v>
      </c>
      <c r="B7" s="4" t="s">
        <v>1637</v>
      </c>
      <c r="C7" s="4" t="s">
        <v>68</v>
      </c>
      <c r="D7" s="4" t="s">
        <v>69</v>
      </c>
      <c r="E7" s="4" t="s">
        <v>1638</v>
      </c>
      <c r="F7" s="4" t="s">
        <v>1639</v>
      </c>
    </row>
    <row r="8" customFormat="false" ht="23.85" hidden="false" customHeight="false" outlineLevel="0" collapsed="false">
      <c r="A8" s="4" t="n">
        <v>1862</v>
      </c>
      <c r="B8" s="4" t="s">
        <v>1637</v>
      </c>
      <c r="C8" s="4" t="s">
        <v>81</v>
      </c>
      <c r="D8" s="4" t="s">
        <v>82</v>
      </c>
      <c r="E8" s="4" t="s">
        <v>1640</v>
      </c>
      <c r="F8" s="4" t="s">
        <v>1641</v>
      </c>
    </row>
    <row r="9" customFormat="false" ht="15" hidden="false" customHeight="false" outlineLevel="0" collapsed="false">
      <c r="A9" s="4" t="n">
        <v>1863</v>
      </c>
      <c r="B9" s="4" t="s">
        <v>1642</v>
      </c>
      <c r="C9" s="4" t="s">
        <v>68</v>
      </c>
      <c r="D9" s="4" t="s">
        <v>69</v>
      </c>
      <c r="E9" s="4" t="s">
        <v>1643</v>
      </c>
      <c r="F9" s="4" t="s">
        <v>1644</v>
      </c>
    </row>
    <row r="10" customFormat="false" ht="15" hidden="false" customHeight="false" outlineLevel="0" collapsed="false">
      <c r="A10" s="4" t="n">
        <v>1864</v>
      </c>
      <c r="B10" s="4" t="s">
        <v>1645</v>
      </c>
      <c r="C10" s="4" t="s">
        <v>81</v>
      </c>
      <c r="D10" s="4" t="s">
        <v>82</v>
      </c>
      <c r="E10" s="4" t="s">
        <v>1646</v>
      </c>
      <c r="F10" s="4" t="s">
        <v>1647</v>
      </c>
    </row>
    <row r="11" customFormat="false" ht="23.85" hidden="false" customHeight="false" outlineLevel="0" collapsed="false">
      <c r="A11" s="4" t="n">
        <v>1864</v>
      </c>
      <c r="B11" s="4" t="s">
        <v>1648</v>
      </c>
      <c r="C11" s="4" t="s">
        <v>102</v>
      </c>
      <c r="D11" s="4" t="s">
        <v>103</v>
      </c>
      <c r="E11" s="4" t="s">
        <v>1649</v>
      </c>
      <c r="F11" s="4" t="s">
        <v>1650</v>
      </c>
    </row>
    <row r="12" customFormat="false" ht="23.85" hidden="false" customHeight="false" outlineLevel="0" collapsed="false">
      <c r="A12" s="4" t="n">
        <v>1865</v>
      </c>
      <c r="B12" s="4" t="s">
        <v>1651</v>
      </c>
      <c r="C12" s="4" t="s">
        <v>102</v>
      </c>
      <c r="D12" s="4" t="s">
        <v>103</v>
      </c>
      <c r="E12" s="4" t="s">
        <v>1652</v>
      </c>
      <c r="F12" s="4" t="s">
        <v>1653</v>
      </c>
    </row>
    <row r="13" customFormat="false" ht="23.85" hidden="false" customHeight="false" outlineLevel="0" collapsed="false">
      <c r="A13" s="4" t="n">
        <v>1865</v>
      </c>
      <c r="B13" s="4" t="s">
        <v>108</v>
      </c>
      <c r="C13" s="4" t="s">
        <v>102</v>
      </c>
      <c r="D13" s="4" t="s">
        <v>103</v>
      </c>
      <c r="E13" s="4" t="s">
        <v>1654</v>
      </c>
      <c r="F13" s="4" t="s">
        <v>1655</v>
      </c>
    </row>
    <row r="14" customFormat="false" ht="15" hidden="false" customHeight="false" outlineLevel="0" collapsed="false">
      <c r="A14" s="4" t="n">
        <v>1865</v>
      </c>
      <c r="B14" s="4" t="s">
        <v>1656</v>
      </c>
      <c r="C14" s="4" t="s">
        <v>141</v>
      </c>
      <c r="D14" s="4" t="s">
        <v>142</v>
      </c>
      <c r="E14" s="4" t="s">
        <v>1657</v>
      </c>
      <c r="F14" s="4" t="s">
        <v>1650</v>
      </c>
    </row>
    <row r="15" customFormat="false" ht="15" hidden="false" customHeight="false" outlineLevel="0" collapsed="false">
      <c r="A15" s="4" t="n">
        <v>1865</v>
      </c>
      <c r="B15" s="4" t="s">
        <v>1656</v>
      </c>
      <c r="C15" s="4" t="s">
        <v>152</v>
      </c>
      <c r="D15" s="4" t="s">
        <v>153</v>
      </c>
      <c r="E15" s="4" t="s">
        <v>1658</v>
      </c>
      <c r="F15" s="4" t="s">
        <v>1650</v>
      </c>
    </row>
    <row r="16" customFormat="false" ht="15" hidden="false" customHeight="false" outlineLevel="0" collapsed="false">
      <c r="A16" s="4" t="n">
        <v>1868</v>
      </c>
      <c r="B16" s="4" t="s">
        <v>1659</v>
      </c>
      <c r="C16" s="4" t="s">
        <v>162</v>
      </c>
      <c r="D16" s="4" t="s">
        <v>163</v>
      </c>
      <c r="E16" s="4" t="s">
        <v>1660</v>
      </c>
      <c r="F16" s="4" t="s">
        <v>1655</v>
      </c>
    </row>
    <row r="17" customFormat="false" ht="23.85" hidden="false" customHeight="false" outlineLevel="0" collapsed="false">
      <c r="A17" s="4" t="n">
        <v>1870</v>
      </c>
      <c r="B17" s="4" t="s">
        <v>1661</v>
      </c>
      <c r="C17" s="4" t="s">
        <v>89</v>
      </c>
      <c r="D17" s="4" t="s">
        <v>211</v>
      </c>
      <c r="E17" s="4" t="s">
        <v>1662</v>
      </c>
      <c r="F17" s="4" t="s">
        <v>1663</v>
      </c>
    </row>
    <row r="18" customFormat="false" ht="15" hidden="false" customHeight="false" outlineLevel="0" collapsed="false">
      <c r="A18" s="4" t="n">
        <v>1872</v>
      </c>
      <c r="B18" s="4" t="s">
        <v>120</v>
      </c>
      <c r="C18" s="4" t="s">
        <v>115</v>
      </c>
      <c r="D18" s="4" t="s">
        <v>116</v>
      </c>
      <c r="E18" s="4" t="s">
        <v>1664</v>
      </c>
      <c r="F18" s="4" t="s">
        <v>1665</v>
      </c>
    </row>
    <row r="19" customFormat="false" ht="15" hidden="false" customHeight="false" outlineLevel="0" collapsed="false">
      <c r="A19" s="4" t="n">
        <v>1872</v>
      </c>
      <c r="B19" s="4" t="s">
        <v>1666</v>
      </c>
      <c r="C19" s="4" t="s">
        <v>128</v>
      </c>
      <c r="D19" s="4" t="s">
        <v>129</v>
      </c>
      <c r="E19" s="4" t="s">
        <v>1667</v>
      </c>
      <c r="F19" s="4" t="s">
        <v>1668</v>
      </c>
    </row>
    <row r="20" customFormat="false" ht="15" hidden="false" customHeight="false" outlineLevel="0" collapsed="false">
      <c r="A20" s="4" t="n">
        <v>1872</v>
      </c>
      <c r="B20" s="4" t="s">
        <v>1669</v>
      </c>
      <c r="C20" s="4" t="s">
        <v>128</v>
      </c>
      <c r="D20" s="4" t="s">
        <v>129</v>
      </c>
      <c r="E20" s="4" t="s">
        <v>1670</v>
      </c>
      <c r="F20" s="4" t="s">
        <v>1668</v>
      </c>
    </row>
    <row r="21" customFormat="false" ht="23.85" hidden="false" customHeight="false" outlineLevel="0" collapsed="false">
      <c r="A21" s="4" t="n">
        <v>1872</v>
      </c>
      <c r="B21" s="4" t="s">
        <v>1666</v>
      </c>
      <c r="C21" s="4" t="s">
        <v>183</v>
      </c>
      <c r="D21" s="4" t="s">
        <v>184</v>
      </c>
      <c r="E21" s="4" t="s">
        <v>1671</v>
      </c>
      <c r="F21" s="4" t="s">
        <v>1672</v>
      </c>
    </row>
    <row r="22" customFormat="false" ht="15" hidden="false" customHeight="false" outlineLevel="0" collapsed="false">
      <c r="A22" s="4" t="n">
        <v>1872</v>
      </c>
      <c r="B22" s="4" t="s">
        <v>120</v>
      </c>
      <c r="C22" s="4" t="s">
        <v>89</v>
      </c>
      <c r="D22" s="4" t="s">
        <v>211</v>
      </c>
      <c r="E22" s="4" t="s">
        <v>1673</v>
      </c>
      <c r="F22" s="4" t="s">
        <v>1674</v>
      </c>
    </row>
    <row r="23" customFormat="false" ht="23.85" hidden="false" customHeight="false" outlineLevel="0" collapsed="false">
      <c r="A23" s="4" t="n">
        <v>1872</v>
      </c>
      <c r="B23" s="4" t="s">
        <v>1675</v>
      </c>
      <c r="C23" s="4" t="s">
        <v>244</v>
      </c>
      <c r="D23" s="4" t="s">
        <v>245</v>
      </c>
      <c r="E23" s="4" t="s">
        <v>1676</v>
      </c>
      <c r="F23" s="4" t="s">
        <v>1677</v>
      </c>
    </row>
    <row r="24" customFormat="false" ht="15" hidden="false" customHeight="false" outlineLevel="0" collapsed="false">
      <c r="A24" s="4" t="n">
        <v>1873</v>
      </c>
      <c r="B24" s="4" t="s">
        <v>1678</v>
      </c>
      <c r="C24" s="4" t="s">
        <v>162</v>
      </c>
      <c r="D24" s="4" t="s">
        <v>163</v>
      </c>
      <c r="E24" s="4" t="s">
        <v>1679</v>
      </c>
      <c r="F24" s="4" t="s">
        <v>1672</v>
      </c>
    </row>
    <row r="25" customFormat="false" ht="23.85" hidden="false" customHeight="false" outlineLevel="0" collapsed="false">
      <c r="A25" s="4" t="n">
        <v>1873</v>
      </c>
      <c r="B25" s="4" t="s">
        <v>134</v>
      </c>
      <c r="C25" s="4" t="s">
        <v>183</v>
      </c>
      <c r="D25" s="4" t="s">
        <v>184</v>
      </c>
      <c r="E25" s="4" t="s">
        <v>1680</v>
      </c>
      <c r="F25" s="4" t="s">
        <v>1665</v>
      </c>
    </row>
    <row r="26" customFormat="false" ht="15" hidden="false" customHeight="false" outlineLevel="0" collapsed="false">
      <c r="A26" s="4" t="n">
        <v>1874</v>
      </c>
      <c r="B26" s="4" t="s">
        <v>1681</v>
      </c>
      <c r="C26" s="4" t="s">
        <v>162</v>
      </c>
      <c r="D26" s="4" t="s">
        <v>163</v>
      </c>
      <c r="E26" s="4" t="s">
        <v>1682</v>
      </c>
      <c r="F26" s="4" t="s">
        <v>1672</v>
      </c>
    </row>
    <row r="27" customFormat="false" ht="23.85" hidden="false" customHeight="false" outlineLevel="0" collapsed="false">
      <c r="A27" s="4" t="n">
        <v>1875</v>
      </c>
      <c r="B27" s="4" t="s">
        <v>1683</v>
      </c>
      <c r="C27" s="4" t="s">
        <v>51</v>
      </c>
      <c r="D27" s="4" t="s">
        <v>52</v>
      </c>
      <c r="E27" s="4" t="s">
        <v>1684</v>
      </c>
      <c r="F27" s="4" t="s">
        <v>1636</v>
      </c>
    </row>
    <row r="28" customFormat="false" ht="15" hidden="false" customHeight="false" outlineLevel="0" collapsed="false">
      <c r="A28" s="4" t="n">
        <v>1875</v>
      </c>
      <c r="B28" s="4" t="s">
        <v>1683</v>
      </c>
      <c r="C28" s="4" t="s">
        <v>68</v>
      </c>
      <c r="D28" s="4" t="s">
        <v>69</v>
      </c>
      <c r="E28" s="4" t="s">
        <v>1685</v>
      </c>
      <c r="F28" s="4" t="s">
        <v>1686</v>
      </c>
    </row>
    <row r="29" customFormat="false" ht="23.85" hidden="false" customHeight="false" outlineLevel="0" collapsed="false">
      <c r="A29" s="4" t="n">
        <v>1875</v>
      </c>
      <c r="B29" s="4" t="s">
        <v>250</v>
      </c>
      <c r="C29" s="4" t="s">
        <v>91</v>
      </c>
      <c r="D29" s="4" t="s">
        <v>92</v>
      </c>
      <c r="E29" s="4" t="s">
        <v>1687</v>
      </c>
      <c r="F29" s="4" t="s">
        <v>1631</v>
      </c>
    </row>
    <row r="30" customFormat="false" ht="23.85" hidden="false" customHeight="false" outlineLevel="0" collapsed="false">
      <c r="A30" s="4" t="n">
        <v>1875</v>
      </c>
      <c r="B30" s="4" t="s">
        <v>1688</v>
      </c>
      <c r="C30" s="4" t="s">
        <v>244</v>
      </c>
      <c r="D30" s="4" t="s">
        <v>245</v>
      </c>
      <c r="E30" s="4" t="s">
        <v>1689</v>
      </c>
      <c r="F30" s="4" t="s">
        <v>1668</v>
      </c>
    </row>
    <row r="31" customFormat="false" ht="23.85" hidden="false" customHeight="false" outlineLevel="0" collapsed="false">
      <c r="A31" s="4" t="n">
        <v>1875</v>
      </c>
      <c r="B31" s="4" t="s">
        <v>250</v>
      </c>
      <c r="C31" s="4" t="s">
        <v>244</v>
      </c>
      <c r="D31" s="4" t="s">
        <v>245</v>
      </c>
      <c r="E31" s="4" t="s">
        <v>1690</v>
      </c>
      <c r="F31" s="4" t="s">
        <v>1691</v>
      </c>
    </row>
    <row r="32" customFormat="false" ht="23.85" hidden="false" customHeight="false" outlineLevel="0" collapsed="false">
      <c r="A32" s="4" t="n">
        <v>1875</v>
      </c>
      <c r="B32" s="4" t="s">
        <v>1683</v>
      </c>
      <c r="C32" s="4" t="s">
        <v>266</v>
      </c>
      <c r="D32" s="4" t="s">
        <v>288</v>
      </c>
      <c r="E32" s="4" t="s">
        <v>1692</v>
      </c>
      <c r="F32" s="4" t="s">
        <v>1693</v>
      </c>
    </row>
    <row r="33" customFormat="false" ht="15" hidden="false" customHeight="false" outlineLevel="0" collapsed="false">
      <c r="A33" s="4" t="n">
        <v>1876</v>
      </c>
      <c r="B33" s="4" t="s">
        <v>1506</v>
      </c>
      <c r="C33" s="4" t="s">
        <v>266</v>
      </c>
      <c r="D33" s="4" t="s">
        <v>288</v>
      </c>
      <c r="E33" s="4" t="s">
        <v>1694</v>
      </c>
      <c r="F33" s="4" t="s">
        <v>1695</v>
      </c>
    </row>
    <row r="34" customFormat="false" ht="15" hidden="false" customHeight="false" outlineLevel="0" collapsed="false">
      <c r="A34" s="4" t="n">
        <v>1880</v>
      </c>
      <c r="B34" s="4" t="s">
        <v>1696</v>
      </c>
      <c r="C34" s="4" t="s">
        <v>128</v>
      </c>
      <c r="D34" s="4" t="s">
        <v>129</v>
      </c>
      <c r="E34" s="4" t="s">
        <v>1697</v>
      </c>
      <c r="F34" s="4" t="s">
        <v>99</v>
      </c>
    </row>
    <row r="35" customFormat="false" ht="15" hidden="false" customHeight="false" outlineLevel="0" collapsed="false">
      <c r="A35" s="4" t="n">
        <v>1881</v>
      </c>
      <c r="B35" s="4" t="s">
        <v>1698</v>
      </c>
      <c r="C35" s="4" t="s">
        <v>257</v>
      </c>
      <c r="D35" s="4" t="s">
        <v>258</v>
      </c>
      <c r="E35" s="4" t="s">
        <v>1699</v>
      </c>
      <c r="F35" s="4" t="s">
        <v>1695</v>
      </c>
    </row>
    <row r="36" customFormat="false" ht="15" hidden="false" customHeight="false" outlineLevel="0" collapsed="false">
      <c r="A36" s="4" t="n">
        <v>1883</v>
      </c>
      <c r="B36" s="4" t="s">
        <v>1551</v>
      </c>
      <c r="C36" s="4" t="s">
        <v>162</v>
      </c>
      <c r="D36" s="4" t="s">
        <v>163</v>
      </c>
      <c r="E36" s="4" t="s">
        <v>1700</v>
      </c>
      <c r="F36" s="4" t="s">
        <v>1672</v>
      </c>
    </row>
    <row r="37" customFormat="false" ht="23.85" hidden="false" customHeight="false" outlineLevel="0" collapsed="false">
      <c r="A37" s="4" t="n">
        <v>1888</v>
      </c>
      <c r="B37" s="4" t="s">
        <v>1701</v>
      </c>
      <c r="C37" s="4" t="s">
        <v>141</v>
      </c>
      <c r="D37" s="4" t="s">
        <v>142</v>
      </c>
      <c r="E37" s="4" t="s">
        <v>1702</v>
      </c>
      <c r="F37" s="4" t="s">
        <v>1672</v>
      </c>
    </row>
    <row r="38" customFormat="false" ht="23.85" hidden="false" customHeight="false" outlineLevel="0" collapsed="false">
      <c r="A38" s="4" t="n">
        <v>1888</v>
      </c>
      <c r="B38" s="4" t="s">
        <v>1703</v>
      </c>
      <c r="C38" s="4" t="s">
        <v>183</v>
      </c>
      <c r="D38" s="4" t="s">
        <v>184</v>
      </c>
      <c r="E38" s="4" t="s">
        <v>1704</v>
      </c>
      <c r="F38" s="4" t="s">
        <v>1705</v>
      </c>
    </row>
    <row r="39" customFormat="false" ht="23.85" hidden="false" customHeight="false" outlineLevel="0" collapsed="false">
      <c r="A39" s="4" t="n">
        <v>1888</v>
      </c>
      <c r="B39" s="4" t="s">
        <v>1706</v>
      </c>
      <c r="C39" s="4" t="s">
        <v>244</v>
      </c>
      <c r="D39" s="4" t="s">
        <v>245</v>
      </c>
      <c r="E39" s="4" t="s">
        <v>1707</v>
      </c>
      <c r="F39" s="4" t="s">
        <v>1708</v>
      </c>
    </row>
    <row r="40" customFormat="false" ht="15" hidden="false" customHeight="false" outlineLevel="0" collapsed="false">
      <c r="A40" s="4" t="n">
        <v>1888</v>
      </c>
      <c r="B40" s="4" t="s">
        <v>1709</v>
      </c>
      <c r="C40" s="4" t="s">
        <v>298</v>
      </c>
      <c r="D40" s="4" t="s">
        <v>299</v>
      </c>
      <c r="E40" s="4" t="s">
        <v>1710</v>
      </c>
      <c r="F40" s="4" t="s">
        <v>1668</v>
      </c>
    </row>
    <row r="41" customFormat="false" ht="15" hidden="false" customHeight="false" outlineLevel="0" collapsed="false">
      <c r="A41" s="4" t="n">
        <v>1888</v>
      </c>
      <c r="B41" s="4" t="s">
        <v>1711</v>
      </c>
      <c r="C41" s="4" t="s">
        <v>298</v>
      </c>
      <c r="D41" s="4" t="s">
        <v>299</v>
      </c>
      <c r="E41" s="4" t="s">
        <v>1712</v>
      </c>
      <c r="F41" s="4" t="s">
        <v>295</v>
      </c>
    </row>
    <row r="42" customFormat="false" ht="15" hidden="false" customHeight="false" outlineLevel="0" collapsed="false">
      <c r="A42" s="4" t="n">
        <v>1888</v>
      </c>
      <c r="B42" s="4" t="s">
        <v>303</v>
      </c>
      <c r="C42" s="4" t="s">
        <v>308</v>
      </c>
      <c r="D42" s="4" t="s">
        <v>309</v>
      </c>
      <c r="E42" s="4" t="s">
        <v>1713</v>
      </c>
      <c r="F42" s="4" t="s">
        <v>1714</v>
      </c>
    </row>
    <row r="43" customFormat="false" ht="23.85" hidden="false" customHeight="false" outlineLevel="0" collapsed="false">
      <c r="A43" s="4" t="n">
        <v>1888</v>
      </c>
      <c r="B43" s="4" t="s">
        <v>1715</v>
      </c>
      <c r="C43" s="4" t="s">
        <v>365</v>
      </c>
      <c r="D43" s="4" t="s">
        <v>366</v>
      </c>
      <c r="E43" s="4" t="s">
        <v>1716</v>
      </c>
      <c r="F43" s="4" t="s">
        <v>1717</v>
      </c>
    </row>
    <row r="44" customFormat="false" ht="15" hidden="false" customHeight="false" outlineLevel="0" collapsed="false">
      <c r="A44" s="4" t="n">
        <v>1888</v>
      </c>
      <c r="B44" s="4" t="s">
        <v>1718</v>
      </c>
      <c r="C44" s="4" t="s">
        <v>423</v>
      </c>
      <c r="D44" s="4" t="s">
        <v>424</v>
      </c>
      <c r="E44" s="4" t="s">
        <v>1719</v>
      </c>
      <c r="F44" s="4" t="s">
        <v>1720</v>
      </c>
    </row>
    <row r="45" customFormat="false" ht="23.85" hidden="false" customHeight="false" outlineLevel="0" collapsed="false">
      <c r="A45" s="4" t="n">
        <v>1889</v>
      </c>
      <c r="B45" s="4" t="s">
        <v>1721</v>
      </c>
      <c r="C45" s="4" t="s">
        <v>183</v>
      </c>
      <c r="D45" s="4" t="s">
        <v>184</v>
      </c>
      <c r="E45" s="4" t="s">
        <v>1722</v>
      </c>
      <c r="F45" s="4" t="s">
        <v>99</v>
      </c>
    </row>
    <row r="46" customFormat="false" ht="15" hidden="false" customHeight="false" outlineLevel="0" collapsed="false">
      <c r="A46" s="4" t="n">
        <v>1889</v>
      </c>
      <c r="B46" s="4" t="s">
        <v>318</v>
      </c>
      <c r="C46" s="4" t="s">
        <v>306</v>
      </c>
      <c r="D46" s="4" t="s">
        <v>316</v>
      </c>
      <c r="E46" s="4" t="s">
        <v>1723</v>
      </c>
      <c r="F46" s="4" t="s">
        <v>1724</v>
      </c>
    </row>
    <row r="47" customFormat="false" ht="23.85" hidden="false" customHeight="false" outlineLevel="0" collapsed="false">
      <c r="A47" s="4" t="n">
        <v>1890</v>
      </c>
      <c r="B47" s="4" t="s">
        <v>1725</v>
      </c>
      <c r="C47" s="4" t="s">
        <v>68</v>
      </c>
      <c r="D47" s="4" t="s">
        <v>69</v>
      </c>
      <c r="E47" s="4" t="s">
        <v>1726</v>
      </c>
      <c r="F47" s="4" t="s">
        <v>1727</v>
      </c>
    </row>
    <row r="48" customFormat="false" ht="23.85" hidden="false" customHeight="false" outlineLevel="0" collapsed="false">
      <c r="A48" s="4" t="n">
        <v>1890</v>
      </c>
      <c r="B48" s="4" t="s">
        <v>73</v>
      </c>
      <c r="C48" s="4" t="s">
        <v>183</v>
      </c>
      <c r="D48" s="4" t="s">
        <v>184</v>
      </c>
      <c r="E48" s="4" t="s">
        <v>1728</v>
      </c>
      <c r="F48" s="4" t="s">
        <v>1655</v>
      </c>
    </row>
    <row r="49" customFormat="false" ht="15" hidden="false" customHeight="false" outlineLevel="0" collapsed="false">
      <c r="A49" s="4" t="n">
        <v>1890</v>
      </c>
      <c r="B49" s="4" t="s">
        <v>1729</v>
      </c>
      <c r="C49" s="4" t="s">
        <v>298</v>
      </c>
      <c r="D49" s="4" t="s">
        <v>299</v>
      </c>
      <c r="E49" s="4" t="s">
        <v>1730</v>
      </c>
      <c r="F49" s="4" t="s">
        <v>99</v>
      </c>
    </row>
    <row r="50" customFormat="false" ht="23.85" hidden="false" customHeight="false" outlineLevel="0" collapsed="false">
      <c r="A50" s="4" t="n">
        <v>1890</v>
      </c>
      <c r="B50" s="4" t="s">
        <v>73</v>
      </c>
      <c r="C50" s="4" t="s">
        <v>365</v>
      </c>
      <c r="D50" s="4" t="s">
        <v>366</v>
      </c>
      <c r="E50" s="4" t="s">
        <v>1731</v>
      </c>
      <c r="F50" s="4" t="s">
        <v>1732</v>
      </c>
    </row>
    <row r="51" customFormat="false" ht="23.85" hidden="false" customHeight="false" outlineLevel="0" collapsed="false">
      <c r="A51" s="4" t="n">
        <v>1890</v>
      </c>
      <c r="B51" s="4" t="s">
        <v>1733</v>
      </c>
      <c r="C51" s="4" t="s">
        <v>365</v>
      </c>
      <c r="D51" s="4" t="s">
        <v>366</v>
      </c>
      <c r="E51" s="4" t="s">
        <v>1734</v>
      </c>
      <c r="F51" s="4" t="s">
        <v>476</v>
      </c>
    </row>
    <row r="52" customFormat="false" ht="23.85" hidden="false" customHeight="false" outlineLevel="0" collapsed="false">
      <c r="A52" s="4" t="n">
        <v>1890</v>
      </c>
      <c r="B52" s="4" t="s">
        <v>1735</v>
      </c>
      <c r="C52" s="4" t="s">
        <v>423</v>
      </c>
      <c r="D52" s="4" t="s">
        <v>424</v>
      </c>
      <c r="E52" s="4" t="s">
        <v>1736</v>
      </c>
      <c r="F52" s="4" t="s">
        <v>1737</v>
      </c>
    </row>
    <row r="53" customFormat="false" ht="15" hidden="false" customHeight="false" outlineLevel="0" collapsed="false">
      <c r="A53" s="4" t="n">
        <v>1891</v>
      </c>
      <c r="B53" s="4" t="s">
        <v>1738</v>
      </c>
      <c r="C53" s="4" t="s">
        <v>298</v>
      </c>
      <c r="D53" s="4" t="s">
        <v>299</v>
      </c>
      <c r="E53" s="4" t="s">
        <v>1739</v>
      </c>
      <c r="F53" s="4" t="s">
        <v>99</v>
      </c>
    </row>
    <row r="54" customFormat="false" ht="23.85" hidden="false" customHeight="false" outlineLevel="0" collapsed="false">
      <c r="A54" s="4" t="n">
        <v>1891</v>
      </c>
      <c r="B54" s="4" t="s">
        <v>336</v>
      </c>
      <c r="C54" s="4" t="s">
        <v>332</v>
      </c>
      <c r="D54" s="4" t="s">
        <v>333</v>
      </c>
      <c r="E54" s="4" t="s">
        <v>1740</v>
      </c>
      <c r="F54" s="4" t="s">
        <v>1741</v>
      </c>
    </row>
    <row r="55" customFormat="false" ht="23.85" hidden="false" customHeight="false" outlineLevel="0" collapsed="false">
      <c r="A55" s="4" t="n">
        <v>1891</v>
      </c>
      <c r="B55" s="4" t="s">
        <v>1742</v>
      </c>
      <c r="C55" s="4" t="s">
        <v>365</v>
      </c>
      <c r="D55" s="4" t="s">
        <v>366</v>
      </c>
      <c r="E55" s="4" t="s">
        <v>1743</v>
      </c>
      <c r="F55" s="4" t="s">
        <v>1732</v>
      </c>
    </row>
    <row r="56" customFormat="false" ht="23.85" hidden="false" customHeight="false" outlineLevel="0" collapsed="false">
      <c r="A56" s="4" t="n">
        <v>1891</v>
      </c>
      <c r="B56" s="4" t="s">
        <v>1744</v>
      </c>
      <c r="C56" s="4" t="s">
        <v>434</v>
      </c>
      <c r="D56" s="4" t="s">
        <v>435</v>
      </c>
      <c r="E56" s="4" t="s">
        <v>1745</v>
      </c>
      <c r="F56" s="4" t="s">
        <v>1720</v>
      </c>
    </row>
    <row r="57" customFormat="false" ht="23.85" hidden="false" customHeight="false" outlineLevel="0" collapsed="false">
      <c r="A57" s="4" t="n">
        <v>1891</v>
      </c>
      <c r="B57" s="4" t="s">
        <v>1746</v>
      </c>
      <c r="C57" s="4" t="s">
        <v>443</v>
      </c>
      <c r="D57" s="4" t="s">
        <v>444</v>
      </c>
      <c r="E57" s="4" t="s">
        <v>1747</v>
      </c>
      <c r="F57" s="4" t="s">
        <v>1748</v>
      </c>
    </row>
    <row r="58" customFormat="false" ht="23.85" hidden="false" customHeight="false" outlineLevel="0" collapsed="false">
      <c r="A58" s="4" t="n">
        <v>1892</v>
      </c>
      <c r="B58" s="4" t="s">
        <v>1749</v>
      </c>
      <c r="C58" s="4" t="s">
        <v>51</v>
      </c>
      <c r="D58" s="4" t="s">
        <v>52</v>
      </c>
      <c r="E58" s="4" t="s">
        <v>1750</v>
      </c>
      <c r="F58" s="4" t="s">
        <v>1639</v>
      </c>
    </row>
    <row r="59" customFormat="false" ht="15" hidden="false" customHeight="false" outlineLevel="0" collapsed="false">
      <c r="A59" s="4" t="n">
        <v>1892</v>
      </c>
      <c r="B59" s="4" t="s">
        <v>59</v>
      </c>
      <c r="C59" s="4" t="s">
        <v>81</v>
      </c>
      <c r="D59" s="4" t="s">
        <v>82</v>
      </c>
      <c r="E59" s="4" t="s">
        <v>1751</v>
      </c>
      <c r="F59" s="4" t="s">
        <v>1727</v>
      </c>
    </row>
    <row r="60" customFormat="false" ht="23.85" hidden="false" customHeight="false" outlineLevel="0" collapsed="false">
      <c r="A60" s="4" t="n">
        <v>1892</v>
      </c>
      <c r="B60" s="4" t="s">
        <v>59</v>
      </c>
      <c r="C60" s="4" t="s">
        <v>183</v>
      </c>
      <c r="D60" s="4" t="s">
        <v>184</v>
      </c>
      <c r="E60" s="4" t="s">
        <v>1752</v>
      </c>
      <c r="F60" s="4" t="s">
        <v>1753</v>
      </c>
    </row>
    <row r="61" customFormat="false" ht="23.85" hidden="false" customHeight="false" outlineLevel="0" collapsed="false">
      <c r="A61" s="4" t="n">
        <v>1892</v>
      </c>
      <c r="B61" s="4" t="s">
        <v>1754</v>
      </c>
      <c r="C61" s="4" t="s">
        <v>183</v>
      </c>
      <c r="D61" s="4" t="s">
        <v>184</v>
      </c>
      <c r="E61" s="4" t="s">
        <v>1755</v>
      </c>
      <c r="F61" s="4" t="s">
        <v>476</v>
      </c>
    </row>
    <row r="62" customFormat="false" ht="15" hidden="false" customHeight="false" outlineLevel="0" collapsed="false">
      <c r="A62" s="4" t="n">
        <v>1892</v>
      </c>
      <c r="B62" s="4" t="s">
        <v>1756</v>
      </c>
      <c r="C62" s="4" t="s">
        <v>341</v>
      </c>
      <c r="D62" s="4" t="s">
        <v>342</v>
      </c>
      <c r="E62" s="4" t="s">
        <v>1757</v>
      </c>
      <c r="F62" s="4" t="s">
        <v>1668</v>
      </c>
    </row>
    <row r="63" customFormat="false" ht="23.85" hidden="false" customHeight="false" outlineLevel="0" collapsed="false">
      <c r="A63" s="4" t="n">
        <v>1892</v>
      </c>
      <c r="B63" s="4" t="s">
        <v>1758</v>
      </c>
      <c r="C63" s="4" t="s">
        <v>365</v>
      </c>
      <c r="D63" s="4" t="s">
        <v>366</v>
      </c>
      <c r="E63" s="4" t="s">
        <v>1759</v>
      </c>
      <c r="F63" s="4" t="s">
        <v>1760</v>
      </c>
    </row>
    <row r="64" customFormat="false" ht="23.85" hidden="false" customHeight="false" outlineLevel="0" collapsed="false">
      <c r="A64" s="4" t="n">
        <v>1892</v>
      </c>
      <c r="B64" s="4" t="s">
        <v>1761</v>
      </c>
      <c r="C64" s="4" t="s">
        <v>451</v>
      </c>
      <c r="D64" s="4" t="s">
        <v>453</v>
      </c>
      <c r="E64" s="4" t="s">
        <v>1762</v>
      </c>
      <c r="F64" s="4" t="s">
        <v>1763</v>
      </c>
    </row>
    <row r="65" customFormat="false" ht="23.85" hidden="false" customHeight="false" outlineLevel="0" collapsed="false">
      <c r="A65" s="4" t="n">
        <v>1892</v>
      </c>
      <c r="B65" s="4" t="s">
        <v>59</v>
      </c>
      <c r="C65" s="4" t="s">
        <v>652</v>
      </c>
      <c r="D65" s="4" t="s">
        <v>653</v>
      </c>
      <c r="E65" s="4" t="s">
        <v>1764</v>
      </c>
      <c r="F65" s="4" t="s">
        <v>1765</v>
      </c>
    </row>
    <row r="66" customFormat="false" ht="15" hidden="false" customHeight="false" outlineLevel="0" collapsed="false">
      <c r="A66" s="4" t="n">
        <v>1893</v>
      </c>
      <c r="B66" s="4" t="s">
        <v>205</v>
      </c>
      <c r="C66" s="4" t="s">
        <v>194</v>
      </c>
      <c r="D66" s="4" t="s">
        <v>195</v>
      </c>
      <c r="E66" s="4" t="s">
        <v>1766</v>
      </c>
      <c r="F66" s="4" t="s">
        <v>1753</v>
      </c>
    </row>
    <row r="67" customFormat="false" ht="15" hidden="false" customHeight="false" outlineLevel="0" collapsed="false">
      <c r="A67" s="4" t="n">
        <v>1893</v>
      </c>
      <c r="B67" s="4" t="s">
        <v>205</v>
      </c>
      <c r="C67" s="4" t="s">
        <v>201</v>
      </c>
      <c r="D67" s="4" t="s">
        <v>202</v>
      </c>
      <c r="E67" s="4" t="s">
        <v>1767</v>
      </c>
      <c r="F67" s="4" t="s">
        <v>1768</v>
      </c>
    </row>
    <row r="68" customFormat="false" ht="15" hidden="false" customHeight="false" outlineLevel="0" collapsed="false">
      <c r="A68" s="4" t="n">
        <v>1893</v>
      </c>
      <c r="B68" s="4" t="s">
        <v>1769</v>
      </c>
      <c r="C68" s="4" t="s">
        <v>266</v>
      </c>
      <c r="D68" s="4" t="s">
        <v>288</v>
      </c>
      <c r="E68" s="4" t="s">
        <v>1770</v>
      </c>
      <c r="F68" s="4" t="s">
        <v>1693</v>
      </c>
    </row>
    <row r="69" customFormat="false" ht="15" hidden="false" customHeight="false" outlineLevel="0" collapsed="false">
      <c r="A69" s="4" t="n">
        <v>1893</v>
      </c>
      <c r="B69" s="4" t="s">
        <v>1771</v>
      </c>
      <c r="C69" s="4" t="s">
        <v>376</v>
      </c>
      <c r="D69" s="4" t="s">
        <v>377</v>
      </c>
      <c r="E69" s="4" t="s">
        <v>1772</v>
      </c>
      <c r="F69" s="4" t="s">
        <v>1717</v>
      </c>
    </row>
    <row r="70" customFormat="false" ht="23.85" hidden="false" customHeight="false" outlineLevel="0" collapsed="false">
      <c r="A70" s="4" t="n">
        <v>1893</v>
      </c>
      <c r="B70" s="4" t="s">
        <v>205</v>
      </c>
      <c r="C70" s="4" t="s">
        <v>434</v>
      </c>
      <c r="D70" s="4" t="s">
        <v>435</v>
      </c>
      <c r="E70" s="4" t="s">
        <v>1773</v>
      </c>
      <c r="F70" s="4" t="s">
        <v>1720</v>
      </c>
    </row>
    <row r="71" customFormat="false" ht="23.85" hidden="false" customHeight="false" outlineLevel="0" collapsed="false">
      <c r="A71" s="4" t="n">
        <v>1893</v>
      </c>
      <c r="B71" s="4" t="s">
        <v>1774</v>
      </c>
      <c r="C71" s="4" t="s">
        <v>470</v>
      </c>
      <c r="D71" s="4" t="s">
        <v>471</v>
      </c>
      <c r="E71" s="4" t="s">
        <v>1775</v>
      </c>
      <c r="F71" s="4" t="s">
        <v>476</v>
      </c>
    </row>
    <row r="72" customFormat="false" ht="23.85" hidden="false" customHeight="false" outlineLevel="0" collapsed="false">
      <c r="A72" s="4" t="n">
        <v>1894</v>
      </c>
      <c r="B72" s="4" t="s">
        <v>1776</v>
      </c>
      <c r="C72" s="4" t="s">
        <v>51</v>
      </c>
      <c r="D72" s="4" t="s">
        <v>52</v>
      </c>
      <c r="E72" s="4" t="s">
        <v>1777</v>
      </c>
      <c r="F72" s="4" t="s">
        <v>1778</v>
      </c>
    </row>
    <row r="73" customFormat="false" ht="15" hidden="false" customHeight="false" outlineLevel="0" collapsed="false">
      <c r="A73" s="4" t="n">
        <v>1894</v>
      </c>
      <c r="B73" s="4" t="s">
        <v>319</v>
      </c>
      <c r="C73" s="4" t="s">
        <v>306</v>
      </c>
      <c r="D73" s="4" t="s">
        <v>316</v>
      </c>
      <c r="E73" s="4" t="s">
        <v>1779</v>
      </c>
      <c r="F73" s="4" t="s">
        <v>1724</v>
      </c>
    </row>
    <row r="74" customFormat="false" ht="23.85" hidden="false" customHeight="false" outlineLevel="0" collapsed="false">
      <c r="A74" s="4" t="n">
        <v>1894</v>
      </c>
      <c r="B74" s="4" t="s">
        <v>1780</v>
      </c>
      <c r="C74" s="4" t="s">
        <v>470</v>
      </c>
      <c r="D74" s="4" t="s">
        <v>471</v>
      </c>
      <c r="E74" s="4" t="s">
        <v>1781</v>
      </c>
      <c r="F74" s="4" t="s">
        <v>476</v>
      </c>
    </row>
    <row r="75" customFormat="false" ht="23.85" hidden="false" customHeight="false" outlineLevel="0" collapsed="false">
      <c r="A75" s="4" t="n">
        <v>1894</v>
      </c>
      <c r="B75" s="4" t="s">
        <v>1776</v>
      </c>
      <c r="C75" s="4" t="s">
        <v>478</v>
      </c>
      <c r="D75" s="4" t="s">
        <v>479</v>
      </c>
      <c r="E75" s="4" t="s">
        <v>1782</v>
      </c>
      <c r="F75" s="4" t="s">
        <v>476</v>
      </c>
    </row>
    <row r="76" customFormat="false" ht="23.85" hidden="false" customHeight="false" outlineLevel="0" collapsed="false">
      <c r="A76" s="4" t="n">
        <v>1894</v>
      </c>
      <c r="B76" s="4" t="s">
        <v>1776</v>
      </c>
      <c r="C76" s="4" t="s">
        <v>629</v>
      </c>
      <c r="D76" s="4" t="s">
        <v>630</v>
      </c>
      <c r="E76" s="4" t="s">
        <v>1783</v>
      </c>
      <c r="F76" s="4" t="s">
        <v>1668</v>
      </c>
    </row>
    <row r="77" customFormat="false" ht="23.85" hidden="false" customHeight="false" outlineLevel="0" collapsed="false">
      <c r="A77" s="4" t="n">
        <v>1894</v>
      </c>
      <c r="B77" s="4" t="s">
        <v>1776</v>
      </c>
      <c r="C77" s="4" t="s">
        <v>629</v>
      </c>
      <c r="D77" s="4" t="s">
        <v>630</v>
      </c>
      <c r="E77" s="4" t="s">
        <v>1784</v>
      </c>
      <c r="F77" s="4" t="s">
        <v>476</v>
      </c>
    </row>
    <row r="78" customFormat="false" ht="15" hidden="false" customHeight="false" outlineLevel="0" collapsed="false">
      <c r="A78" s="4" t="n">
        <v>1895</v>
      </c>
      <c r="B78" s="4" t="s">
        <v>1785</v>
      </c>
      <c r="C78" s="4" t="s">
        <v>115</v>
      </c>
      <c r="D78" s="4" t="s">
        <v>116</v>
      </c>
      <c r="E78" s="4" t="s">
        <v>1786</v>
      </c>
      <c r="F78" s="4" t="s">
        <v>1665</v>
      </c>
    </row>
    <row r="79" customFormat="false" ht="23.85" hidden="false" customHeight="false" outlineLevel="0" collapsed="false">
      <c r="A79" s="4" t="n">
        <v>1895</v>
      </c>
      <c r="B79" s="4" t="s">
        <v>1787</v>
      </c>
      <c r="C79" s="4" t="s">
        <v>128</v>
      </c>
      <c r="D79" s="4" t="s">
        <v>129</v>
      </c>
      <c r="E79" s="4" t="s">
        <v>1788</v>
      </c>
      <c r="F79" s="4" t="s">
        <v>1650</v>
      </c>
    </row>
    <row r="80" customFormat="false" ht="15" hidden="false" customHeight="false" outlineLevel="0" collapsed="false">
      <c r="A80" s="4" t="n">
        <v>1895</v>
      </c>
      <c r="B80" s="4" t="s">
        <v>121</v>
      </c>
      <c r="C80" s="4" t="s">
        <v>141</v>
      </c>
      <c r="D80" s="4" t="s">
        <v>142</v>
      </c>
      <c r="E80" s="4" t="s">
        <v>1789</v>
      </c>
      <c r="F80" s="4" t="s">
        <v>1665</v>
      </c>
    </row>
    <row r="81" customFormat="false" ht="15" hidden="false" customHeight="false" outlineLevel="0" collapsed="false">
      <c r="A81" s="4" t="n">
        <v>1895</v>
      </c>
      <c r="B81" s="4" t="s">
        <v>1790</v>
      </c>
      <c r="C81" s="4" t="s">
        <v>89</v>
      </c>
      <c r="D81" s="4" t="s">
        <v>211</v>
      </c>
      <c r="E81" s="4" t="s">
        <v>1791</v>
      </c>
      <c r="F81" s="4" t="s">
        <v>1674</v>
      </c>
    </row>
    <row r="82" customFormat="false" ht="23.85" hidden="false" customHeight="false" outlineLevel="0" collapsed="false">
      <c r="A82" s="4" t="n">
        <v>1895</v>
      </c>
      <c r="B82" s="4" t="s">
        <v>1792</v>
      </c>
      <c r="C82" s="4" t="s">
        <v>268</v>
      </c>
      <c r="D82" s="4" t="s">
        <v>269</v>
      </c>
      <c r="E82" s="4" t="s">
        <v>1793</v>
      </c>
      <c r="F82" s="4" t="s">
        <v>1794</v>
      </c>
    </row>
    <row r="83" customFormat="false" ht="15" hidden="false" customHeight="false" outlineLevel="0" collapsed="false">
      <c r="A83" s="4" t="n">
        <v>1895</v>
      </c>
      <c r="B83" s="4" t="s">
        <v>121</v>
      </c>
      <c r="C83" s="4" t="s">
        <v>413</v>
      </c>
      <c r="D83" s="4" t="s">
        <v>414</v>
      </c>
      <c r="E83" s="4" t="s">
        <v>1795</v>
      </c>
      <c r="F83" s="4" t="s">
        <v>1796</v>
      </c>
    </row>
    <row r="84" customFormat="false" ht="23.85" hidden="false" customHeight="false" outlineLevel="0" collapsed="false">
      <c r="A84" s="4" t="n">
        <v>1895</v>
      </c>
      <c r="B84" s="4" t="s">
        <v>1797</v>
      </c>
      <c r="C84" s="4" t="s">
        <v>451</v>
      </c>
      <c r="D84" s="4" t="s">
        <v>453</v>
      </c>
      <c r="E84" s="4" t="s">
        <v>1798</v>
      </c>
      <c r="F84" s="4" t="s">
        <v>1799</v>
      </c>
    </row>
    <row r="85" customFormat="false" ht="23.85" hidden="false" customHeight="false" outlineLevel="0" collapsed="false">
      <c r="A85" s="4" t="n">
        <v>1895</v>
      </c>
      <c r="B85" s="4" t="s">
        <v>121</v>
      </c>
      <c r="C85" s="4" t="s">
        <v>620</v>
      </c>
      <c r="D85" s="4" t="s">
        <v>621</v>
      </c>
      <c r="E85" s="4" t="s">
        <v>1800</v>
      </c>
      <c r="F85" s="4" t="s">
        <v>1724</v>
      </c>
    </row>
    <row r="86" customFormat="false" ht="23.85" hidden="false" customHeight="false" outlineLevel="0" collapsed="false">
      <c r="A86" s="4" t="n">
        <v>1895</v>
      </c>
      <c r="B86" s="4" t="s">
        <v>1801</v>
      </c>
      <c r="C86" s="4" t="s">
        <v>463</v>
      </c>
      <c r="D86" s="4" t="s">
        <v>464</v>
      </c>
      <c r="E86" s="4" t="s">
        <v>1802</v>
      </c>
      <c r="F86" s="4" t="s">
        <v>1799</v>
      </c>
    </row>
    <row r="87" customFormat="false" ht="23.85" hidden="false" customHeight="false" outlineLevel="0" collapsed="false">
      <c r="A87" s="4" t="n">
        <v>1896</v>
      </c>
      <c r="B87" s="4" t="s">
        <v>1803</v>
      </c>
      <c r="C87" s="4" t="s">
        <v>102</v>
      </c>
      <c r="D87" s="4" t="s">
        <v>103</v>
      </c>
      <c r="E87" s="4" t="s">
        <v>1804</v>
      </c>
      <c r="F87" s="4" t="s">
        <v>1655</v>
      </c>
    </row>
    <row r="88" customFormat="false" ht="15" hidden="false" customHeight="false" outlineLevel="0" collapsed="false">
      <c r="A88" s="4" t="n">
        <v>1896</v>
      </c>
      <c r="B88" s="4" t="s">
        <v>109</v>
      </c>
      <c r="C88" s="4" t="s">
        <v>152</v>
      </c>
      <c r="D88" s="4" t="s">
        <v>153</v>
      </c>
      <c r="E88" s="4" t="s">
        <v>1805</v>
      </c>
      <c r="F88" s="4" t="s">
        <v>1665</v>
      </c>
    </row>
    <row r="89" customFormat="false" ht="23.85" hidden="false" customHeight="false" outlineLevel="0" collapsed="false">
      <c r="A89" s="4" t="n">
        <v>1896</v>
      </c>
      <c r="B89" s="4" t="s">
        <v>1806</v>
      </c>
      <c r="C89" s="4" t="s">
        <v>268</v>
      </c>
      <c r="D89" s="4" t="s">
        <v>269</v>
      </c>
      <c r="E89" s="4" t="s">
        <v>1807</v>
      </c>
      <c r="F89" s="4" t="s">
        <v>476</v>
      </c>
    </row>
    <row r="90" customFormat="false" ht="15" hidden="false" customHeight="false" outlineLevel="0" collapsed="false">
      <c r="A90" s="4" t="n">
        <v>1896</v>
      </c>
      <c r="B90" s="4" t="s">
        <v>109</v>
      </c>
      <c r="C90" s="4" t="s">
        <v>266</v>
      </c>
      <c r="D90" s="4" t="s">
        <v>288</v>
      </c>
      <c r="E90" s="4" t="s">
        <v>1808</v>
      </c>
      <c r="F90" s="4" t="s">
        <v>1695</v>
      </c>
    </row>
    <row r="91" customFormat="false" ht="23.85" hidden="false" customHeight="false" outlineLevel="0" collapsed="false">
      <c r="A91" s="4" t="n">
        <v>1896</v>
      </c>
      <c r="B91" s="4" t="s">
        <v>1809</v>
      </c>
      <c r="C91" s="4" t="s">
        <v>434</v>
      </c>
      <c r="D91" s="4" t="s">
        <v>435</v>
      </c>
      <c r="E91" s="4" t="s">
        <v>1810</v>
      </c>
      <c r="F91" s="4" t="s">
        <v>1720</v>
      </c>
    </row>
    <row r="92" customFormat="false" ht="15" hidden="false" customHeight="false" outlineLevel="0" collapsed="false">
      <c r="A92" s="4" t="n">
        <v>1896</v>
      </c>
      <c r="B92" s="4" t="s">
        <v>1811</v>
      </c>
      <c r="C92" s="4" t="s">
        <v>443</v>
      </c>
      <c r="D92" s="4" t="s">
        <v>444</v>
      </c>
      <c r="E92" s="4" t="s">
        <v>1812</v>
      </c>
      <c r="F92" s="4" t="s">
        <v>1737</v>
      </c>
    </row>
    <row r="93" customFormat="false" ht="23.85" hidden="false" customHeight="false" outlineLevel="0" collapsed="false">
      <c r="A93" s="4" t="n">
        <v>1896</v>
      </c>
      <c r="B93" s="4" t="s">
        <v>109</v>
      </c>
      <c r="C93" s="4" t="s">
        <v>451</v>
      </c>
      <c r="D93" s="4" t="s">
        <v>453</v>
      </c>
      <c r="E93" s="4" t="s">
        <v>1813</v>
      </c>
      <c r="F93" s="4" t="s">
        <v>1814</v>
      </c>
    </row>
    <row r="94" customFormat="false" ht="15" hidden="false" customHeight="false" outlineLevel="0" collapsed="false">
      <c r="A94" s="4" t="n">
        <v>1896</v>
      </c>
      <c r="B94" s="4" t="s">
        <v>1815</v>
      </c>
      <c r="C94" s="4" t="s">
        <v>538</v>
      </c>
      <c r="D94" s="4" t="s">
        <v>539</v>
      </c>
      <c r="E94" s="4" t="s">
        <v>1816</v>
      </c>
      <c r="F94" s="4" t="s">
        <v>1817</v>
      </c>
    </row>
    <row r="95" customFormat="false" ht="23.85" hidden="false" customHeight="false" outlineLevel="0" collapsed="false">
      <c r="A95" s="4" t="n">
        <v>1896</v>
      </c>
      <c r="B95" s="4" t="s">
        <v>1818</v>
      </c>
      <c r="C95" s="4" t="s">
        <v>594</v>
      </c>
      <c r="D95" s="4" t="s">
        <v>595</v>
      </c>
      <c r="E95" s="4" t="s">
        <v>1819</v>
      </c>
      <c r="F95" s="4" t="s">
        <v>476</v>
      </c>
    </row>
    <row r="96" customFormat="false" ht="23.85" hidden="false" customHeight="false" outlineLevel="0" collapsed="false">
      <c r="A96" s="4" t="n">
        <v>1896</v>
      </c>
      <c r="B96" s="4" t="s">
        <v>1820</v>
      </c>
      <c r="C96" s="4" t="s">
        <v>463</v>
      </c>
      <c r="D96" s="4" t="s">
        <v>464</v>
      </c>
      <c r="E96" s="4" t="s">
        <v>1821</v>
      </c>
      <c r="F96" s="4" t="s">
        <v>468</v>
      </c>
    </row>
    <row r="97" customFormat="false" ht="23.85" hidden="false" customHeight="false" outlineLevel="0" collapsed="false">
      <c r="A97" s="4" t="n">
        <v>1896</v>
      </c>
      <c r="B97" s="4" t="s">
        <v>109</v>
      </c>
      <c r="C97" s="4" t="s">
        <v>629</v>
      </c>
      <c r="D97" s="4" t="s">
        <v>630</v>
      </c>
      <c r="E97" s="4" t="s">
        <v>1822</v>
      </c>
      <c r="F97" s="4" t="s">
        <v>1823</v>
      </c>
    </row>
    <row r="98" customFormat="false" ht="23.85" hidden="false" customHeight="false" outlineLevel="0" collapsed="false">
      <c r="A98" s="4" t="n">
        <v>1896</v>
      </c>
      <c r="B98" s="4" t="s">
        <v>109</v>
      </c>
      <c r="C98" s="4" t="s">
        <v>642</v>
      </c>
      <c r="D98" s="4" t="s">
        <v>643</v>
      </c>
      <c r="E98" s="4" t="s">
        <v>1824</v>
      </c>
      <c r="F98" s="4" t="s">
        <v>1765</v>
      </c>
    </row>
    <row r="99" customFormat="false" ht="23.85" hidden="false" customHeight="false" outlineLevel="0" collapsed="false">
      <c r="A99" s="4" t="n">
        <v>1896</v>
      </c>
      <c r="B99" s="4" t="s">
        <v>109</v>
      </c>
      <c r="C99" s="4" t="s">
        <v>660</v>
      </c>
      <c r="D99" s="4" t="s">
        <v>661</v>
      </c>
      <c r="E99" s="4" t="s">
        <v>1825</v>
      </c>
      <c r="F99" s="4" t="s">
        <v>1826</v>
      </c>
    </row>
    <row r="100" customFormat="false" ht="23.85" hidden="false" customHeight="false" outlineLevel="0" collapsed="false">
      <c r="A100" s="4" t="n">
        <v>1897</v>
      </c>
      <c r="B100" s="4" t="s">
        <v>1827</v>
      </c>
      <c r="C100" s="4" t="s">
        <v>51</v>
      </c>
      <c r="D100" s="4" t="s">
        <v>52</v>
      </c>
      <c r="E100" s="4" t="s">
        <v>1828</v>
      </c>
      <c r="F100" s="4" t="s">
        <v>1829</v>
      </c>
    </row>
    <row r="101" customFormat="false" ht="23.85" hidden="false" customHeight="false" outlineLevel="0" collapsed="false">
      <c r="A101" s="4" t="n">
        <v>1897</v>
      </c>
      <c r="B101" s="4" t="s">
        <v>1830</v>
      </c>
      <c r="C101" s="4" t="s">
        <v>51</v>
      </c>
      <c r="D101" s="4" t="s">
        <v>52</v>
      </c>
      <c r="E101" s="4" t="s">
        <v>1831</v>
      </c>
      <c r="F101" s="4" t="s">
        <v>1829</v>
      </c>
    </row>
    <row r="102" customFormat="false" ht="15" hidden="false" customHeight="false" outlineLevel="0" collapsed="false">
      <c r="A102" s="4" t="n">
        <v>1897</v>
      </c>
      <c r="B102" s="4" t="s">
        <v>1832</v>
      </c>
      <c r="C102" s="4" t="s">
        <v>173</v>
      </c>
      <c r="D102" s="4" t="s">
        <v>174</v>
      </c>
      <c r="E102" s="4" t="s">
        <v>1833</v>
      </c>
      <c r="F102" s="4" t="s">
        <v>1672</v>
      </c>
    </row>
    <row r="103" customFormat="false" ht="23.85" hidden="false" customHeight="false" outlineLevel="0" collapsed="false">
      <c r="A103" s="4" t="n">
        <v>1897</v>
      </c>
      <c r="B103" s="4" t="s">
        <v>1834</v>
      </c>
      <c r="C103" s="4" t="s">
        <v>268</v>
      </c>
      <c r="D103" s="4" t="s">
        <v>269</v>
      </c>
      <c r="E103" s="4" t="s">
        <v>1835</v>
      </c>
      <c r="F103" s="4" t="s">
        <v>99</v>
      </c>
    </row>
    <row r="104" customFormat="false" ht="15" hidden="false" customHeight="false" outlineLevel="0" collapsed="false">
      <c r="A104" s="4" t="n">
        <v>1897</v>
      </c>
      <c r="B104" s="4" t="s">
        <v>346</v>
      </c>
      <c r="C104" s="4" t="s">
        <v>341</v>
      </c>
      <c r="D104" s="4" t="s">
        <v>342</v>
      </c>
      <c r="E104" s="4" t="s">
        <v>1836</v>
      </c>
      <c r="F104" s="4" t="s">
        <v>421</v>
      </c>
    </row>
    <row r="105" customFormat="false" ht="23.85" hidden="false" customHeight="false" outlineLevel="0" collapsed="false">
      <c r="A105" s="4" t="n">
        <v>1897</v>
      </c>
      <c r="B105" s="4" t="s">
        <v>1837</v>
      </c>
      <c r="C105" s="4" t="s">
        <v>434</v>
      </c>
      <c r="D105" s="4" t="s">
        <v>435</v>
      </c>
      <c r="E105" s="4" t="s">
        <v>1838</v>
      </c>
      <c r="F105" s="4" t="s">
        <v>1720</v>
      </c>
    </row>
    <row r="106" customFormat="false" ht="23.85" hidden="false" customHeight="false" outlineLevel="0" collapsed="false">
      <c r="A106" s="4" t="n">
        <v>1897</v>
      </c>
      <c r="B106" s="4" t="s">
        <v>346</v>
      </c>
      <c r="C106" s="4" t="s">
        <v>451</v>
      </c>
      <c r="D106" s="4" t="s">
        <v>453</v>
      </c>
      <c r="E106" s="4" t="s">
        <v>1839</v>
      </c>
      <c r="F106" s="4" t="s">
        <v>1799</v>
      </c>
    </row>
    <row r="107" customFormat="false" ht="23.85" hidden="false" customHeight="false" outlineLevel="0" collapsed="false">
      <c r="A107" s="4" t="n">
        <v>1897</v>
      </c>
      <c r="B107" s="4" t="s">
        <v>346</v>
      </c>
      <c r="C107" s="4" t="s">
        <v>192</v>
      </c>
      <c r="D107" s="4" t="s">
        <v>528</v>
      </c>
      <c r="E107" s="4" t="s">
        <v>1840</v>
      </c>
      <c r="F107" s="4" t="s">
        <v>1841</v>
      </c>
    </row>
    <row r="108" customFormat="false" ht="15" hidden="false" customHeight="false" outlineLevel="0" collapsed="false">
      <c r="A108" s="4" t="n">
        <v>1897</v>
      </c>
      <c r="B108" s="4" t="s">
        <v>346</v>
      </c>
      <c r="C108" s="4" t="s">
        <v>538</v>
      </c>
      <c r="D108" s="4" t="s">
        <v>539</v>
      </c>
      <c r="E108" s="4" t="s">
        <v>1842</v>
      </c>
      <c r="F108" s="4" t="s">
        <v>450</v>
      </c>
    </row>
    <row r="109" customFormat="false" ht="23.85" hidden="false" customHeight="false" outlineLevel="0" collapsed="false">
      <c r="A109" s="4" t="n">
        <v>1898</v>
      </c>
      <c r="B109" s="4" t="s">
        <v>1843</v>
      </c>
      <c r="C109" s="4" t="s">
        <v>51</v>
      </c>
      <c r="D109" s="4" t="s">
        <v>52</v>
      </c>
      <c r="E109" s="4" t="s">
        <v>1844</v>
      </c>
      <c r="F109" s="4" t="s">
        <v>1845</v>
      </c>
    </row>
    <row r="110" customFormat="false" ht="15" hidden="false" customHeight="false" outlineLevel="0" collapsed="false">
      <c r="A110" s="4" t="n">
        <v>1898</v>
      </c>
      <c r="B110" s="4" t="s">
        <v>1846</v>
      </c>
      <c r="C110" s="4" t="s">
        <v>68</v>
      </c>
      <c r="D110" s="4" t="s">
        <v>69</v>
      </c>
      <c r="E110" s="4" t="s">
        <v>1847</v>
      </c>
      <c r="F110" s="4" t="s">
        <v>1845</v>
      </c>
    </row>
    <row r="111" customFormat="false" ht="23.85" hidden="false" customHeight="false" outlineLevel="0" collapsed="false">
      <c r="A111" s="4" t="n">
        <v>1898</v>
      </c>
      <c r="B111" s="4" t="s">
        <v>1848</v>
      </c>
      <c r="C111" s="4" t="s">
        <v>81</v>
      </c>
      <c r="D111" s="4" t="s">
        <v>82</v>
      </c>
      <c r="E111" s="4" t="s">
        <v>1849</v>
      </c>
      <c r="F111" s="4" t="s">
        <v>1850</v>
      </c>
    </row>
    <row r="112" customFormat="false" ht="23.85" hidden="false" customHeight="false" outlineLevel="0" collapsed="false">
      <c r="A112" s="4" t="n">
        <v>1898</v>
      </c>
      <c r="B112" s="4" t="s">
        <v>60</v>
      </c>
      <c r="C112" s="4" t="s">
        <v>183</v>
      </c>
      <c r="D112" s="4" t="s">
        <v>184</v>
      </c>
      <c r="E112" s="4" t="s">
        <v>1851</v>
      </c>
      <c r="F112" s="4" t="s">
        <v>1753</v>
      </c>
    </row>
    <row r="113" customFormat="false" ht="15" hidden="false" customHeight="false" outlineLevel="0" collapsed="false">
      <c r="A113" s="4" t="n">
        <v>1898</v>
      </c>
      <c r="B113" s="4" t="s">
        <v>60</v>
      </c>
      <c r="C113" s="4" t="s">
        <v>224</v>
      </c>
      <c r="D113" s="4" t="s">
        <v>225</v>
      </c>
      <c r="E113" s="4" t="s">
        <v>1852</v>
      </c>
      <c r="F113" s="4" t="s">
        <v>1674</v>
      </c>
    </row>
    <row r="114" customFormat="false" ht="23.85" hidden="false" customHeight="false" outlineLevel="0" collapsed="false">
      <c r="A114" s="4" t="n">
        <v>1898</v>
      </c>
      <c r="B114" s="4" t="s">
        <v>60</v>
      </c>
      <c r="C114" s="4" t="s">
        <v>224</v>
      </c>
      <c r="D114" s="4" t="s">
        <v>225</v>
      </c>
      <c r="E114" s="4" t="s">
        <v>1853</v>
      </c>
      <c r="F114" s="4" t="s">
        <v>476</v>
      </c>
    </row>
    <row r="115" customFormat="false" ht="15" hidden="false" customHeight="false" outlineLevel="0" collapsed="false">
      <c r="A115" s="4" t="n">
        <v>1898</v>
      </c>
      <c r="B115" s="4" t="s">
        <v>60</v>
      </c>
      <c r="C115" s="4" t="s">
        <v>257</v>
      </c>
      <c r="D115" s="4" t="s">
        <v>258</v>
      </c>
      <c r="E115" s="4" t="s">
        <v>1854</v>
      </c>
      <c r="F115" s="4" t="s">
        <v>1708</v>
      </c>
    </row>
    <row r="116" customFormat="false" ht="23.85" hidden="false" customHeight="false" outlineLevel="0" collapsed="false">
      <c r="A116" s="4" t="n">
        <v>1898</v>
      </c>
      <c r="B116" s="4" t="s">
        <v>60</v>
      </c>
      <c r="C116" s="4" t="s">
        <v>268</v>
      </c>
      <c r="D116" s="4" t="s">
        <v>269</v>
      </c>
      <c r="E116" s="4" t="s">
        <v>1855</v>
      </c>
      <c r="F116" s="4" t="s">
        <v>1753</v>
      </c>
    </row>
    <row r="117" customFormat="false" ht="15" hidden="false" customHeight="false" outlineLevel="0" collapsed="false">
      <c r="A117" s="4" t="n">
        <v>1898</v>
      </c>
      <c r="B117" s="4" t="s">
        <v>1856</v>
      </c>
      <c r="C117" s="4" t="s">
        <v>266</v>
      </c>
      <c r="D117" s="4" t="s">
        <v>288</v>
      </c>
      <c r="E117" s="4" t="s">
        <v>1857</v>
      </c>
      <c r="F117" s="4" t="s">
        <v>1695</v>
      </c>
    </row>
    <row r="118" customFormat="false" ht="23.85" hidden="false" customHeight="false" outlineLevel="0" collapsed="false">
      <c r="A118" s="4" t="n">
        <v>1898</v>
      </c>
      <c r="B118" s="4" t="s">
        <v>1858</v>
      </c>
      <c r="C118" s="4" t="s">
        <v>298</v>
      </c>
      <c r="D118" s="4" t="s">
        <v>299</v>
      </c>
      <c r="E118" s="4" t="s">
        <v>1859</v>
      </c>
      <c r="F118" s="4" t="s">
        <v>1823</v>
      </c>
    </row>
    <row r="119" customFormat="false" ht="15" hidden="false" customHeight="false" outlineLevel="0" collapsed="false">
      <c r="A119" s="4" t="n">
        <v>1898</v>
      </c>
      <c r="B119" s="4" t="s">
        <v>1860</v>
      </c>
      <c r="C119" s="4" t="s">
        <v>298</v>
      </c>
      <c r="D119" s="4" t="s">
        <v>299</v>
      </c>
      <c r="E119" s="4" t="s">
        <v>1861</v>
      </c>
      <c r="F119" s="4" t="s">
        <v>99</v>
      </c>
    </row>
    <row r="120" customFormat="false" ht="15" hidden="false" customHeight="false" outlineLevel="0" collapsed="false">
      <c r="A120" s="4" t="n">
        <v>1898</v>
      </c>
      <c r="B120" s="4" t="s">
        <v>1862</v>
      </c>
      <c r="C120" s="4" t="s">
        <v>341</v>
      </c>
      <c r="D120" s="4" t="s">
        <v>342</v>
      </c>
      <c r="E120" s="4" t="s">
        <v>1863</v>
      </c>
      <c r="F120" s="4" t="s">
        <v>450</v>
      </c>
    </row>
    <row r="121" customFormat="false" ht="15" hidden="false" customHeight="false" outlineLevel="0" collapsed="false">
      <c r="A121" s="4" t="n">
        <v>1898</v>
      </c>
      <c r="B121" s="4" t="s">
        <v>1864</v>
      </c>
      <c r="C121" s="4" t="s">
        <v>567</v>
      </c>
      <c r="D121" s="4" t="s">
        <v>568</v>
      </c>
      <c r="E121" s="4" t="s">
        <v>1865</v>
      </c>
      <c r="F121" s="4" t="s">
        <v>1668</v>
      </c>
    </row>
    <row r="122" customFormat="false" ht="15" hidden="false" customHeight="false" outlineLevel="0" collapsed="false">
      <c r="A122" s="4" t="n">
        <v>1899</v>
      </c>
      <c r="B122" s="4" t="s">
        <v>1866</v>
      </c>
      <c r="C122" s="4" t="s">
        <v>89</v>
      </c>
      <c r="D122" s="4" t="s">
        <v>211</v>
      </c>
      <c r="E122" s="4" t="s">
        <v>1867</v>
      </c>
      <c r="F122" s="4" t="s">
        <v>1674</v>
      </c>
    </row>
    <row r="123" customFormat="false" ht="23.85" hidden="false" customHeight="false" outlineLevel="0" collapsed="false">
      <c r="A123" s="4" t="n">
        <v>1899</v>
      </c>
      <c r="B123" s="4" t="s">
        <v>217</v>
      </c>
      <c r="C123" s="4" t="s">
        <v>268</v>
      </c>
      <c r="D123" s="4" t="s">
        <v>269</v>
      </c>
      <c r="E123" s="4" t="s">
        <v>1868</v>
      </c>
      <c r="F123" s="4" t="s">
        <v>1869</v>
      </c>
    </row>
    <row r="124" customFormat="false" ht="15" hidden="false" customHeight="false" outlineLevel="0" collapsed="false">
      <c r="A124" s="4" t="n">
        <v>1899</v>
      </c>
      <c r="B124" s="4" t="s">
        <v>1870</v>
      </c>
      <c r="C124" s="4" t="s">
        <v>322</v>
      </c>
      <c r="D124" s="4" t="s">
        <v>323</v>
      </c>
      <c r="E124" s="4" t="s">
        <v>1871</v>
      </c>
      <c r="F124" s="4" t="s">
        <v>99</v>
      </c>
    </row>
    <row r="125" customFormat="false" ht="23.85" hidden="false" customHeight="false" outlineLevel="0" collapsed="false">
      <c r="A125" s="4" t="n">
        <v>1899</v>
      </c>
      <c r="B125" s="4" t="s">
        <v>217</v>
      </c>
      <c r="C125" s="4" t="s">
        <v>365</v>
      </c>
      <c r="D125" s="4" t="s">
        <v>366</v>
      </c>
      <c r="E125" s="4" t="s">
        <v>1872</v>
      </c>
      <c r="F125" s="4" t="s">
        <v>1873</v>
      </c>
    </row>
    <row r="126" customFormat="false" ht="15" hidden="false" customHeight="false" outlineLevel="0" collapsed="false">
      <c r="A126" s="4" t="n">
        <v>1899</v>
      </c>
      <c r="B126" s="4" t="s">
        <v>1874</v>
      </c>
      <c r="C126" s="4" t="s">
        <v>376</v>
      </c>
      <c r="D126" s="4" t="s">
        <v>377</v>
      </c>
      <c r="E126" s="4" t="s">
        <v>1875</v>
      </c>
      <c r="F126" s="4" t="s">
        <v>1641</v>
      </c>
    </row>
    <row r="127" customFormat="false" ht="23.85" hidden="false" customHeight="false" outlineLevel="0" collapsed="false">
      <c r="A127" s="4" t="n">
        <v>1899</v>
      </c>
      <c r="B127" s="4" t="s">
        <v>217</v>
      </c>
      <c r="C127" s="4" t="s">
        <v>451</v>
      </c>
      <c r="D127" s="4" t="s">
        <v>453</v>
      </c>
      <c r="E127" s="4" t="s">
        <v>1876</v>
      </c>
      <c r="F127" s="4" t="s">
        <v>1799</v>
      </c>
    </row>
    <row r="128" customFormat="false" ht="23.85" hidden="false" customHeight="false" outlineLevel="0" collapsed="false">
      <c r="A128" s="4" t="n">
        <v>1900</v>
      </c>
      <c r="B128" s="4" t="s">
        <v>1877</v>
      </c>
      <c r="C128" s="4" t="s">
        <v>51</v>
      </c>
      <c r="D128" s="4" t="s">
        <v>52</v>
      </c>
      <c r="E128" s="4" t="s">
        <v>1878</v>
      </c>
      <c r="F128" s="4" t="s">
        <v>476</v>
      </c>
    </row>
    <row r="129" customFormat="false" ht="15" hidden="false" customHeight="false" outlineLevel="0" collapsed="false">
      <c r="A129" s="4" t="n">
        <v>1900</v>
      </c>
      <c r="B129" s="4" t="s">
        <v>1879</v>
      </c>
      <c r="C129" s="4" t="s">
        <v>173</v>
      </c>
      <c r="D129" s="4" t="s">
        <v>174</v>
      </c>
      <c r="E129" s="4" t="s">
        <v>1880</v>
      </c>
      <c r="F129" s="4" t="s">
        <v>1655</v>
      </c>
    </row>
    <row r="130" customFormat="false" ht="23.85" hidden="false" customHeight="false" outlineLevel="0" collapsed="false">
      <c r="A130" s="4" t="n">
        <v>1900</v>
      </c>
      <c r="B130" s="4" t="s">
        <v>1879</v>
      </c>
      <c r="C130" s="4" t="s">
        <v>173</v>
      </c>
      <c r="D130" s="4" t="s">
        <v>174</v>
      </c>
      <c r="E130" s="4" t="s">
        <v>1881</v>
      </c>
      <c r="F130" s="4" t="s">
        <v>1882</v>
      </c>
    </row>
    <row r="131" customFormat="false" ht="15" hidden="false" customHeight="false" outlineLevel="0" collapsed="false">
      <c r="A131" s="4" t="n">
        <v>1900</v>
      </c>
      <c r="B131" s="4" t="s">
        <v>177</v>
      </c>
      <c r="C131" s="4" t="s">
        <v>233</v>
      </c>
      <c r="D131" s="4" t="s">
        <v>234</v>
      </c>
      <c r="E131" s="4" t="s">
        <v>1883</v>
      </c>
      <c r="F131" s="4" t="s">
        <v>1753</v>
      </c>
    </row>
    <row r="132" customFormat="false" ht="23.85" hidden="false" customHeight="false" outlineLevel="0" collapsed="false">
      <c r="A132" s="4" t="n">
        <v>1900</v>
      </c>
      <c r="B132" s="4" t="s">
        <v>1884</v>
      </c>
      <c r="C132" s="4" t="s">
        <v>244</v>
      </c>
      <c r="D132" s="4" t="s">
        <v>245</v>
      </c>
      <c r="E132" s="4" t="s">
        <v>1885</v>
      </c>
      <c r="F132" s="4" t="s">
        <v>1708</v>
      </c>
    </row>
    <row r="133" customFormat="false" ht="23.85" hidden="false" customHeight="false" outlineLevel="0" collapsed="false">
      <c r="A133" s="4" t="n">
        <v>1900</v>
      </c>
      <c r="B133" s="4" t="s">
        <v>1886</v>
      </c>
      <c r="C133" s="4" t="s">
        <v>434</v>
      </c>
      <c r="D133" s="4" t="s">
        <v>435</v>
      </c>
      <c r="E133" s="4" t="s">
        <v>1887</v>
      </c>
      <c r="F133" s="4" t="s">
        <v>1720</v>
      </c>
    </row>
    <row r="134" customFormat="false" ht="23.85" hidden="false" customHeight="false" outlineLevel="0" collapsed="false">
      <c r="A134" s="4" t="n">
        <v>1901</v>
      </c>
      <c r="B134" s="4" t="s">
        <v>1888</v>
      </c>
      <c r="C134" s="4" t="s">
        <v>51</v>
      </c>
      <c r="D134" s="4" t="s">
        <v>52</v>
      </c>
      <c r="E134" s="4" t="s">
        <v>1889</v>
      </c>
      <c r="F134" s="4" t="s">
        <v>1636</v>
      </c>
    </row>
    <row r="135" customFormat="false" ht="23.85" hidden="false" customHeight="false" outlineLevel="0" collapsed="false">
      <c r="A135" s="4" t="n">
        <v>1901</v>
      </c>
      <c r="B135" s="4" t="s">
        <v>493</v>
      </c>
      <c r="C135" s="4" t="s">
        <v>51</v>
      </c>
      <c r="D135" s="4" t="s">
        <v>52</v>
      </c>
      <c r="E135" s="4" t="s">
        <v>1890</v>
      </c>
      <c r="F135" s="4" t="s">
        <v>99</v>
      </c>
    </row>
    <row r="136" customFormat="false" ht="15" hidden="false" customHeight="false" outlineLevel="0" collapsed="false">
      <c r="A136" s="4" t="n">
        <v>1901</v>
      </c>
      <c r="B136" s="4" t="s">
        <v>1888</v>
      </c>
      <c r="C136" s="4" t="s">
        <v>489</v>
      </c>
      <c r="D136" s="4" t="s">
        <v>490</v>
      </c>
      <c r="E136" s="4" t="s">
        <v>1891</v>
      </c>
      <c r="F136" s="4" t="s">
        <v>1892</v>
      </c>
    </row>
    <row r="137" customFormat="false" ht="23.85" hidden="false" customHeight="false" outlineLevel="0" collapsed="false">
      <c r="A137" s="4" t="n">
        <v>1902</v>
      </c>
      <c r="B137" s="4" t="s">
        <v>1893</v>
      </c>
      <c r="C137" s="4" t="s">
        <v>102</v>
      </c>
      <c r="D137" s="4" t="s">
        <v>103</v>
      </c>
      <c r="E137" s="4" t="s">
        <v>1894</v>
      </c>
      <c r="F137" s="4" t="s">
        <v>1650</v>
      </c>
    </row>
    <row r="138" customFormat="false" ht="15" hidden="false" customHeight="false" outlineLevel="0" collapsed="false">
      <c r="A138" s="4" t="n">
        <v>1902</v>
      </c>
      <c r="B138" s="4" t="s">
        <v>1895</v>
      </c>
      <c r="C138" s="4" t="s">
        <v>257</v>
      </c>
      <c r="D138" s="4" t="s">
        <v>258</v>
      </c>
      <c r="E138" s="4" t="s">
        <v>1896</v>
      </c>
      <c r="F138" s="4" t="s">
        <v>476</v>
      </c>
    </row>
    <row r="139" customFormat="false" ht="15" hidden="false" customHeight="false" outlineLevel="0" collapsed="false">
      <c r="A139" s="4" t="n">
        <v>1902</v>
      </c>
      <c r="B139" s="4" t="s">
        <v>359</v>
      </c>
      <c r="C139" s="4" t="s">
        <v>352</v>
      </c>
      <c r="D139" s="4" t="s">
        <v>354</v>
      </c>
      <c r="E139" s="4" t="s">
        <v>1897</v>
      </c>
      <c r="F139" s="4" t="s">
        <v>1898</v>
      </c>
    </row>
    <row r="140" customFormat="false" ht="15" hidden="false" customHeight="false" outlineLevel="0" collapsed="false">
      <c r="A140" s="4" t="n">
        <v>1902</v>
      </c>
      <c r="B140" s="4" t="s">
        <v>448</v>
      </c>
      <c r="C140" s="4" t="s">
        <v>443</v>
      </c>
      <c r="D140" s="4" t="s">
        <v>444</v>
      </c>
      <c r="E140" s="4" t="s">
        <v>1899</v>
      </c>
      <c r="F140" s="4" t="s">
        <v>1898</v>
      </c>
    </row>
    <row r="141" customFormat="false" ht="23.85" hidden="false" customHeight="false" outlineLevel="0" collapsed="false">
      <c r="A141" s="4" t="n">
        <v>1902</v>
      </c>
      <c r="B141" s="4" t="s">
        <v>359</v>
      </c>
      <c r="C141" s="4" t="s">
        <v>629</v>
      </c>
      <c r="D141" s="4" t="s">
        <v>630</v>
      </c>
      <c r="E141" s="4" t="s">
        <v>1900</v>
      </c>
      <c r="F141" s="4" t="s">
        <v>1668</v>
      </c>
    </row>
    <row r="142" customFormat="false" ht="23.85" hidden="false" customHeight="false" outlineLevel="0" collapsed="false">
      <c r="A142" s="4" t="n">
        <v>1903</v>
      </c>
      <c r="B142" s="4" t="s">
        <v>1901</v>
      </c>
      <c r="C142" s="4" t="s">
        <v>322</v>
      </c>
      <c r="D142" s="4" t="s">
        <v>323</v>
      </c>
      <c r="E142" s="4" t="s">
        <v>1902</v>
      </c>
      <c r="F142" s="4" t="s">
        <v>476</v>
      </c>
    </row>
    <row r="143" customFormat="false" ht="15" hidden="false" customHeight="false" outlineLevel="0" collapsed="false">
      <c r="A143" s="4" t="n">
        <v>1903</v>
      </c>
      <c r="B143" s="4" t="s">
        <v>1903</v>
      </c>
      <c r="C143" s="4" t="s">
        <v>538</v>
      </c>
      <c r="D143" s="4" t="s">
        <v>539</v>
      </c>
      <c r="E143" s="4" t="s">
        <v>1904</v>
      </c>
      <c r="F143" s="4" t="s">
        <v>1905</v>
      </c>
    </row>
    <row r="144" customFormat="false" ht="15" hidden="false" customHeight="false" outlineLevel="0" collapsed="false">
      <c r="A144" s="4" t="n">
        <v>1903</v>
      </c>
      <c r="B144" s="4" t="s">
        <v>1906</v>
      </c>
      <c r="C144" s="4" t="s">
        <v>567</v>
      </c>
      <c r="D144" s="4" t="s">
        <v>568</v>
      </c>
      <c r="E144" s="4" t="s">
        <v>1907</v>
      </c>
      <c r="F144" s="4" t="s">
        <v>1753</v>
      </c>
    </row>
    <row r="145" customFormat="false" ht="23.85" hidden="false" customHeight="false" outlineLevel="0" collapsed="false">
      <c r="A145" s="4" t="n">
        <v>1903</v>
      </c>
      <c r="B145" s="4" t="s">
        <v>1901</v>
      </c>
      <c r="C145" s="4" t="s">
        <v>478</v>
      </c>
      <c r="D145" s="4" t="s">
        <v>479</v>
      </c>
      <c r="E145" s="4" t="s">
        <v>1908</v>
      </c>
      <c r="F145" s="4" t="s">
        <v>476</v>
      </c>
    </row>
    <row r="146" customFormat="false" ht="23.85" hidden="false" customHeight="false" outlineLevel="0" collapsed="false">
      <c r="A146" s="4" t="n">
        <v>1903</v>
      </c>
      <c r="B146" s="4" t="s">
        <v>1909</v>
      </c>
      <c r="C146" s="4" t="s">
        <v>680</v>
      </c>
      <c r="D146" s="4" t="s">
        <v>681</v>
      </c>
      <c r="E146" s="4" t="s">
        <v>1910</v>
      </c>
      <c r="F146" s="4" t="s">
        <v>1794</v>
      </c>
    </row>
    <row r="147" customFormat="false" ht="23.85" hidden="false" customHeight="false" outlineLevel="0" collapsed="false">
      <c r="A147" s="4" t="n">
        <v>1904</v>
      </c>
      <c r="B147" s="4" t="s">
        <v>1911</v>
      </c>
      <c r="C147" s="4" t="s">
        <v>434</v>
      </c>
      <c r="D147" s="4" t="s">
        <v>435</v>
      </c>
      <c r="E147" s="4" t="s">
        <v>1912</v>
      </c>
      <c r="F147" s="4" t="s">
        <v>1720</v>
      </c>
    </row>
    <row r="148" customFormat="false" ht="23.85" hidden="false" customHeight="false" outlineLevel="0" collapsed="false">
      <c r="A148" s="4" t="n">
        <v>1905</v>
      </c>
      <c r="B148" s="4" t="s">
        <v>1913</v>
      </c>
      <c r="C148" s="4" t="s">
        <v>577</v>
      </c>
      <c r="D148" s="4" t="s">
        <v>578</v>
      </c>
      <c r="E148" s="4" t="s">
        <v>1914</v>
      </c>
      <c r="F148" s="4" t="s">
        <v>1668</v>
      </c>
    </row>
    <row r="149" customFormat="false" ht="15" hidden="false" customHeight="false" outlineLevel="0" collapsed="false">
      <c r="A149" s="4" t="n">
        <v>1906</v>
      </c>
      <c r="B149" s="4" t="s">
        <v>1915</v>
      </c>
      <c r="C149" s="4" t="s">
        <v>81</v>
      </c>
      <c r="D149" s="4" t="s">
        <v>82</v>
      </c>
      <c r="E149" s="4" t="s">
        <v>1916</v>
      </c>
      <c r="F149" s="4" t="s">
        <v>1829</v>
      </c>
    </row>
    <row r="150" customFormat="false" ht="23.85" hidden="false" customHeight="false" outlineLevel="0" collapsed="false">
      <c r="A150" s="4" t="n">
        <v>1906</v>
      </c>
      <c r="B150" s="4" t="s">
        <v>1917</v>
      </c>
      <c r="C150" s="4" t="s">
        <v>629</v>
      </c>
      <c r="D150" s="4" t="s">
        <v>630</v>
      </c>
      <c r="E150" s="4" t="s">
        <v>1918</v>
      </c>
      <c r="F150" s="4" t="s">
        <v>1668</v>
      </c>
    </row>
    <row r="151" customFormat="false" ht="15" hidden="false" customHeight="false" outlineLevel="0" collapsed="false">
      <c r="A151" s="4" t="n">
        <v>1906</v>
      </c>
      <c r="B151" s="4" t="s">
        <v>1919</v>
      </c>
      <c r="C151" s="4" t="s">
        <v>669</v>
      </c>
      <c r="D151" s="4" t="s">
        <v>670</v>
      </c>
      <c r="E151" s="4" t="s">
        <v>1920</v>
      </c>
      <c r="F151" s="4" t="s">
        <v>1765</v>
      </c>
    </row>
    <row r="152" customFormat="false" ht="23.85" hidden="false" customHeight="false" outlineLevel="0" collapsed="false">
      <c r="A152" s="4" t="n">
        <v>1906</v>
      </c>
      <c r="B152" s="4" t="s">
        <v>1921</v>
      </c>
      <c r="C152" s="4" t="s">
        <v>680</v>
      </c>
      <c r="D152" s="4" t="s">
        <v>681</v>
      </c>
      <c r="E152" s="4" t="s">
        <v>1922</v>
      </c>
      <c r="F152" s="4" t="s">
        <v>1923</v>
      </c>
    </row>
    <row r="153" customFormat="false" ht="23.85" hidden="false" customHeight="false" outlineLevel="0" collapsed="false">
      <c r="A153" s="4" t="n">
        <v>1907</v>
      </c>
      <c r="B153" s="4" t="s">
        <v>678</v>
      </c>
      <c r="C153" s="4" t="s">
        <v>650</v>
      </c>
      <c r="D153" s="4" t="s">
        <v>676</v>
      </c>
      <c r="E153" s="4" t="s">
        <v>1924</v>
      </c>
      <c r="F153" s="4" t="s">
        <v>1765</v>
      </c>
    </row>
    <row r="154" customFormat="false" ht="23.85" hidden="false" customHeight="false" outlineLevel="0" collapsed="false">
      <c r="A154" s="4" t="n">
        <v>1908</v>
      </c>
      <c r="B154" s="4" t="s">
        <v>1925</v>
      </c>
      <c r="C154" s="4" t="s">
        <v>91</v>
      </c>
      <c r="D154" s="4" t="s">
        <v>92</v>
      </c>
      <c r="E154" s="4" t="s">
        <v>1926</v>
      </c>
      <c r="F154" s="4" t="s">
        <v>1636</v>
      </c>
    </row>
    <row r="155" customFormat="false" ht="23.85" hidden="false" customHeight="false" outlineLevel="0" collapsed="false">
      <c r="A155" s="4" t="n">
        <v>1908</v>
      </c>
      <c r="B155" s="4" t="s">
        <v>1925</v>
      </c>
      <c r="C155" s="4" t="s">
        <v>387</v>
      </c>
      <c r="D155" s="4" t="s">
        <v>388</v>
      </c>
      <c r="E155" s="4" t="s">
        <v>1927</v>
      </c>
      <c r="F155" s="4" t="s">
        <v>1928</v>
      </c>
    </row>
    <row r="156" customFormat="false" ht="15" hidden="false" customHeight="false" outlineLevel="0" collapsed="false">
      <c r="A156" s="4" t="n">
        <v>1908</v>
      </c>
      <c r="B156" s="4" t="s">
        <v>1925</v>
      </c>
      <c r="C156" s="4" t="s">
        <v>397</v>
      </c>
      <c r="D156" s="4" t="s">
        <v>398</v>
      </c>
      <c r="E156" s="4" t="s">
        <v>1929</v>
      </c>
      <c r="F156" s="4" t="s">
        <v>1668</v>
      </c>
    </row>
    <row r="157" customFormat="false" ht="23.85" hidden="false" customHeight="false" outlineLevel="0" collapsed="false">
      <c r="A157" s="4" t="n">
        <v>1908</v>
      </c>
      <c r="B157" s="4" t="s">
        <v>1930</v>
      </c>
      <c r="C157" s="4" t="s">
        <v>405</v>
      </c>
      <c r="D157" s="4" t="s">
        <v>406</v>
      </c>
      <c r="E157" s="4" t="s">
        <v>1931</v>
      </c>
      <c r="F157" s="4" t="s">
        <v>1932</v>
      </c>
    </row>
    <row r="158" customFormat="false" ht="15" hidden="false" customHeight="false" outlineLevel="0" collapsed="false">
      <c r="A158" s="4" t="n">
        <v>1908</v>
      </c>
      <c r="B158" s="4" t="s">
        <v>1933</v>
      </c>
      <c r="C158" s="4" t="s">
        <v>423</v>
      </c>
      <c r="D158" s="4" t="s">
        <v>424</v>
      </c>
      <c r="E158" s="4" t="s">
        <v>1934</v>
      </c>
      <c r="F158" s="4" t="s">
        <v>1935</v>
      </c>
    </row>
    <row r="159" customFormat="false" ht="23.85" hidden="false" customHeight="false" outlineLevel="0" collapsed="false">
      <c r="A159" s="4" t="n">
        <v>1908</v>
      </c>
      <c r="B159" s="4" t="s">
        <v>1936</v>
      </c>
      <c r="C159" s="4" t="s">
        <v>550</v>
      </c>
      <c r="D159" s="4" t="s">
        <v>551</v>
      </c>
      <c r="E159" s="4" t="s">
        <v>1937</v>
      </c>
      <c r="F159" s="4" t="s">
        <v>1817</v>
      </c>
    </row>
    <row r="160" customFormat="false" ht="15" hidden="false" customHeight="false" outlineLevel="0" collapsed="false">
      <c r="A160" s="4" t="n">
        <v>1908</v>
      </c>
      <c r="B160" s="4" t="s">
        <v>392</v>
      </c>
      <c r="C160" s="4" t="s">
        <v>588</v>
      </c>
      <c r="D160" s="4" t="s">
        <v>589</v>
      </c>
      <c r="E160" s="4" t="s">
        <v>1938</v>
      </c>
      <c r="F160" s="4" t="s">
        <v>1939</v>
      </c>
    </row>
    <row r="161" customFormat="false" ht="23.85" hidden="false" customHeight="false" outlineLevel="0" collapsed="false">
      <c r="A161" s="4" t="n">
        <v>1908</v>
      </c>
      <c r="B161" s="4" t="s">
        <v>392</v>
      </c>
      <c r="C161" s="4" t="s">
        <v>691</v>
      </c>
      <c r="D161" s="4" t="s">
        <v>692</v>
      </c>
      <c r="E161" s="4" t="s">
        <v>1940</v>
      </c>
      <c r="F161" s="4" t="s">
        <v>1724</v>
      </c>
    </row>
    <row r="162" customFormat="false" ht="23.85" hidden="false" customHeight="false" outlineLevel="0" collapsed="false">
      <c r="A162" s="4" t="n">
        <v>1909</v>
      </c>
      <c r="B162" s="4" t="s">
        <v>1941</v>
      </c>
      <c r="C162" s="4" t="s">
        <v>183</v>
      </c>
      <c r="D162" s="4" t="s">
        <v>184</v>
      </c>
      <c r="E162" s="4" t="s">
        <v>1942</v>
      </c>
      <c r="F162" s="4" t="s">
        <v>295</v>
      </c>
    </row>
    <row r="163" customFormat="false" ht="15" hidden="false" customHeight="false" outlineLevel="0" collapsed="false">
      <c r="A163" s="4" t="n">
        <v>1910</v>
      </c>
      <c r="B163" s="4" t="s">
        <v>1943</v>
      </c>
      <c r="C163" s="4" t="s">
        <v>538</v>
      </c>
      <c r="D163" s="4" t="s">
        <v>539</v>
      </c>
      <c r="E163" s="4" t="s">
        <v>1944</v>
      </c>
      <c r="F163" s="4" t="s">
        <v>99</v>
      </c>
    </row>
    <row r="164" customFormat="false" ht="15" hidden="false" customHeight="false" outlineLevel="0" collapsed="false">
      <c r="A164" s="4" t="n">
        <v>1910</v>
      </c>
      <c r="B164" s="4" t="s">
        <v>555</v>
      </c>
      <c r="C164" s="4" t="s">
        <v>561</v>
      </c>
      <c r="D164" s="4" t="s">
        <v>562</v>
      </c>
      <c r="E164" s="4" t="s">
        <v>1945</v>
      </c>
      <c r="F164" s="4" t="s">
        <v>1946</v>
      </c>
    </row>
    <row r="165" customFormat="false" ht="15" hidden="false" customHeight="false" outlineLevel="0" collapsed="false">
      <c r="A165" s="4" t="n">
        <v>1910</v>
      </c>
      <c r="B165" s="4" t="s">
        <v>555</v>
      </c>
      <c r="C165" s="4" t="s">
        <v>577</v>
      </c>
      <c r="D165" s="4" t="s">
        <v>578</v>
      </c>
      <c r="E165" s="4" t="s">
        <v>1947</v>
      </c>
      <c r="F165" s="4" t="s">
        <v>1753</v>
      </c>
    </row>
    <row r="166" customFormat="false" ht="23.85" hidden="false" customHeight="false" outlineLevel="0" collapsed="false">
      <c r="A166" s="4" t="n">
        <v>1910</v>
      </c>
      <c r="B166" s="4" t="s">
        <v>1948</v>
      </c>
      <c r="C166" s="4" t="s">
        <v>629</v>
      </c>
      <c r="D166" s="4" t="s">
        <v>630</v>
      </c>
      <c r="E166" s="4" t="s">
        <v>1949</v>
      </c>
      <c r="F166" s="4" t="s">
        <v>1950</v>
      </c>
    </row>
    <row r="167" customFormat="false" ht="23.85" hidden="false" customHeight="false" outlineLevel="0" collapsed="false">
      <c r="A167" s="4" t="n">
        <v>1912</v>
      </c>
      <c r="B167" s="4" t="s">
        <v>1951</v>
      </c>
      <c r="C167" s="4" t="s">
        <v>244</v>
      </c>
      <c r="D167" s="4" t="s">
        <v>245</v>
      </c>
      <c r="E167" s="4" t="s">
        <v>1952</v>
      </c>
      <c r="F167" s="4" t="s">
        <v>1869</v>
      </c>
    </row>
    <row r="168" customFormat="false" ht="23.85" hidden="false" customHeight="false" outlineLevel="0" collapsed="false">
      <c r="A168" s="4" t="n">
        <v>1912</v>
      </c>
      <c r="B168" s="4" t="s">
        <v>284</v>
      </c>
      <c r="C168" s="4" t="s">
        <v>278</v>
      </c>
      <c r="D168" s="4" t="s">
        <v>280</v>
      </c>
      <c r="E168" s="4" t="s">
        <v>1953</v>
      </c>
      <c r="F168" s="4" t="s">
        <v>1954</v>
      </c>
    </row>
    <row r="169" customFormat="false" ht="15" hidden="false" customHeight="false" outlineLevel="0" collapsed="false">
      <c r="A169" s="4" t="n">
        <v>1912</v>
      </c>
      <c r="B169" s="4" t="s">
        <v>284</v>
      </c>
      <c r="C169" s="4" t="s">
        <v>577</v>
      </c>
      <c r="D169" s="4" t="s">
        <v>578</v>
      </c>
      <c r="E169" s="4" t="s">
        <v>1955</v>
      </c>
      <c r="F169" s="4" t="s">
        <v>1956</v>
      </c>
    </row>
    <row r="170" customFormat="false" ht="23.85" hidden="false" customHeight="false" outlineLevel="0" collapsed="false">
      <c r="A170" s="4" t="n">
        <v>1913</v>
      </c>
      <c r="B170" s="4" t="s">
        <v>1957</v>
      </c>
      <c r="C170" s="4" t="s">
        <v>520</v>
      </c>
      <c r="D170" s="4" t="s">
        <v>521</v>
      </c>
      <c r="E170" s="4" t="s">
        <v>1958</v>
      </c>
      <c r="F170" s="4" t="s">
        <v>1959</v>
      </c>
    </row>
    <row r="171" customFormat="false" ht="15" hidden="false" customHeight="false" outlineLevel="0" collapsed="false">
      <c r="A171" s="4" t="n">
        <v>1914</v>
      </c>
      <c r="B171" s="4" t="s">
        <v>1960</v>
      </c>
      <c r="C171" s="4" t="s">
        <v>538</v>
      </c>
      <c r="D171" s="4" t="s">
        <v>539</v>
      </c>
      <c r="E171" s="4" t="s">
        <v>1961</v>
      </c>
      <c r="F171" s="4" t="s">
        <v>1962</v>
      </c>
    </row>
    <row r="172" customFormat="false" ht="23.85" hidden="false" customHeight="false" outlineLevel="0" collapsed="false">
      <c r="A172" s="4" t="n">
        <v>1916</v>
      </c>
      <c r="B172" s="4" t="s">
        <v>1963</v>
      </c>
      <c r="C172" s="4" t="s">
        <v>51</v>
      </c>
      <c r="D172" s="4" t="s">
        <v>52</v>
      </c>
      <c r="E172" s="4" t="s">
        <v>1964</v>
      </c>
      <c r="F172" s="4" t="s">
        <v>1636</v>
      </c>
    </row>
    <row r="173" customFormat="false" ht="23.85" hidden="false" customHeight="false" outlineLevel="0" collapsed="false">
      <c r="A173" s="4" t="n">
        <v>1916</v>
      </c>
      <c r="B173" s="4" t="s">
        <v>1965</v>
      </c>
      <c r="C173" s="4" t="s">
        <v>51</v>
      </c>
      <c r="D173" s="4" t="s">
        <v>52</v>
      </c>
      <c r="E173" s="4" t="s">
        <v>1966</v>
      </c>
      <c r="F173" s="4" t="s">
        <v>1631</v>
      </c>
    </row>
    <row r="174" customFormat="false" ht="23.85" hidden="false" customHeight="false" outlineLevel="0" collapsed="false">
      <c r="A174" s="4" t="n">
        <v>1916</v>
      </c>
      <c r="B174" s="4" t="s">
        <v>1965</v>
      </c>
      <c r="C174" s="4" t="s">
        <v>489</v>
      </c>
      <c r="D174" s="4" t="s">
        <v>490</v>
      </c>
      <c r="E174" s="4" t="s">
        <v>1967</v>
      </c>
      <c r="F174" s="4" t="s">
        <v>1631</v>
      </c>
    </row>
    <row r="175" customFormat="false" ht="15" hidden="false" customHeight="false" outlineLevel="0" collapsed="false">
      <c r="A175" s="4" t="n">
        <v>1918</v>
      </c>
      <c r="B175" s="4" t="s">
        <v>1968</v>
      </c>
      <c r="C175" s="4" t="s">
        <v>538</v>
      </c>
      <c r="D175" s="4" t="s">
        <v>539</v>
      </c>
      <c r="E175" s="4" t="s">
        <v>1969</v>
      </c>
      <c r="F175" s="4" t="s">
        <v>1905</v>
      </c>
    </row>
    <row r="176" customFormat="false" ht="23.85" hidden="false" customHeight="false" outlineLevel="0" collapsed="false">
      <c r="A176" s="4" t="n">
        <v>1921</v>
      </c>
      <c r="B176" s="4" t="s">
        <v>525</v>
      </c>
      <c r="C176" s="4" t="s">
        <v>520</v>
      </c>
      <c r="D176" s="4" t="s">
        <v>521</v>
      </c>
      <c r="E176" s="4" t="s">
        <v>1970</v>
      </c>
      <c r="F176" s="4" t="s">
        <v>421</v>
      </c>
    </row>
    <row r="177" customFormat="false" ht="15" hidden="false" customHeight="false" outlineLevel="0" collapsed="false">
      <c r="A177" s="4" t="n">
        <v>1921</v>
      </c>
      <c r="B177" s="4" t="s">
        <v>1520</v>
      </c>
      <c r="C177" s="4" t="s">
        <v>642</v>
      </c>
      <c r="D177" s="4" t="s">
        <v>643</v>
      </c>
      <c r="E177" s="4" t="s">
        <v>1971</v>
      </c>
      <c r="F177" s="4" t="s">
        <v>1765</v>
      </c>
    </row>
    <row r="178" customFormat="false" ht="23.85" hidden="false" customHeight="false" outlineLevel="0" collapsed="false">
      <c r="A178" s="4" t="n">
        <v>1923</v>
      </c>
      <c r="B178" s="4" t="s">
        <v>285</v>
      </c>
      <c r="C178" s="4" t="s">
        <v>278</v>
      </c>
      <c r="D178" s="4" t="s">
        <v>280</v>
      </c>
      <c r="E178" s="4" t="s">
        <v>1779</v>
      </c>
      <c r="F178" s="4" t="s">
        <v>1954</v>
      </c>
    </row>
    <row r="179" customFormat="false" ht="23.85" hidden="false" customHeight="false" outlineLevel="0" collapsed="false">
      <c r="A179" s="4" t="n">
        <v>1923</v>
      </c>
      <c r="B179" s="4" t="s">
        <v>607</v>
      </c>
      <c r="C179" s="4" t="s">
        <v>365</v>
      </c>
      <c r="D179" s="4" t="s">
        <v>366</v>
      </c>
      <c r="E179" s="4" t="s">
        <v>1972</v>
      </c>
      <c r="F179" s="4" t="s">
        <v>1717</v>
      </c>
    </row>
    <row r="180" customFormat="false" ht="15" hidden="false" customHeight="false" outlineLevel="0" collapsed="false">
      <c r="A180" s="4" t="n">
        <v>1923</v>
      </c>
      <c r="B180" s="4" t="s">
        <v>1973</v>
      </c>
      <c r="C180" s="4" t="s">
        <v>567</v>
      </c>
      <c r="D180" s="4" t="s">
        <v>568</v>
      </c>
      <c r="E180" s="4" t="s">
        <v>1974</v>
      </c>
      <c r="F180" s="4" t="s">
        <v>1975</v>
      </c>
    </row>
    <row r="181" customFormat="false" ht="15" hidden="false" customHeight="false" outlineLevel="0" collapsed="false">
      <c r="A181" s="4" t="n">
        <v>1923</v>
      </c>
      <c r="B181" s="4" t="s">
        <v>1976</v>
      </c>
      <c r="C181" s="4" t="s">
        <v>577</v>
      </c>
      <c r="D181" s="4" t="s">
        <v>578</v>
      </c>
      <c r="E181" s="4" t="s">
        <v>1977</v>
      </c>
      <c r="F181" s="4" t="s">
        <v>402</v>
      </c>
    </row>
    <row r="182" customFormat="false" ht="15" hidden="false" customHeight="false" outlineLevel="0" collapsed="false">
      <c r="A182" s="4" t="n">
        <v>1923</v>
      </c>
      <c r="B182" s="4" t="s">
        <v>607</v>
      </c>
      <c r="C182" s="4" t="s">
        <v>603</v>
      </c>
      <c r="D182" s="4" t="s">
        <v>604</v>
      </c>
      <c r="E182" s="4" t="s">
        <v>1978</v>
      </c>
      <c r="F182" s="4" t="s">
        <v>1845</v>
      </c>
    </row>
    <row r="183" customFormat="false" ht="23.85" hidden="false" customHeight="false" outlineLevel="0" collapsed="false">
      <c r="A183" s="4" t="n">
        <v>1923</v>
      </c>
      <c r="B183" s="4" t="s">
        <v>607</v>
      </c>
      <c r="C183" s="4" t="s">
        <v>680</v>
      </c>
      <c r="D183" s="4" t="s">
        <v>681</v>
      </c>
      <c r="E183" s="4" t="s">
        <v>1979</v>
      </c>
      <c r="F183" s="4" t="s">
        <v>1845</v>
      </c>
    </row>
    <row r="184" customFormat="false" ht="23.85" hidden="false" customHeight="false" outlineLevel="0" collapsed="false">
      <c r="A184" s="4" t="n">
        <v>1924</v>
      </c>
      <c r="B184" s="4" t="s">
        <v>533</v>
      </c>
      <c r="C184" s="4" t="s">
        <v>192</v>
      </c>
      <c r="D184" s="4" t="s">
        <v>528</v>
      </c>
      <c r="E184" s="4" t="s">
        <v>1980</v>
      </c>
      <c r="F184" s="4" t="s">
        <v>1841</v>
      </c>
    </row>
    <row r="185" customFormat="false" ht="15" hidden="false" customHeight="false" outlineLevel="0" collapsed="false">
      <c r="A185" s="4" t="n">
        <v>1925</v>
      </c>
      <c r="B185" s="4" t="s">
        <v>1582</v>
      </c>
      <c r="C185" s="4" t="s">
        <v>308</v>
      </c>
      <c r="D185" s="4" t="s">
        <v>309</v>
      </c>
      <c r="E185" s="4" t="s">
        <v>1981</v>
      </c>
      <c r="F185" s="4" t="s">
        <v>1714</v>
      </c>
    </row>
    <row r="186" customFormat="false" ht="15" hidden="false" customHeight="false" outlineLevel="0" collapsed="false">
      <c r="A186" s="4" t="n">
        <v>1925</v>
      </c>
      <c r="B186" s="4" t="s">
        <v>592</v>
      </c>
      <c r="C186" s="4" t="s">
        <v>588</v>
      </c>
      <c r="D186" s="4" t="s">
        <v>589</v>
      </c>
      <c r="E186" s="4" t="s">
        <v>1982</v>
      </c>
      <c r="F186" s="4" t="s">
        <v>1939</v>
      </c>
    </row>
    <row r="187" customFormat="false" ht="15" hidden="false" customHeight="false" outlineLevel="0" collapsed="false">
      <c r="A187" s="4" t="n">
        <v>1926</v>
      </c>
      <c r="B187" s="4" t="s">
        <v>1983</v>
      </c>
      <c r="C187" s="4" t="s">
        <v>423</v>
      </c>
      <c r="D187" s="4" t="s">
        <v>424</v>
      </c>
      <c r="E187" s="4" t="s">
        <v>1984</v>
      </c>
      <c r="F187" s="4" t="s">
        <v>1720</v>
      </c>
    </row>
    <row r="188" customFormat="false" ht="15" hidden="false" customHeight="false" outlineLevel="0" collapsed="false">
      <c r="A188" s="4" t="n">
        <v>1927</v>
      </c>
      <c r="B188" s="4" t="s">
        <v>545</v>
      </c>
      <c r="C188" s="4" t="s">
        <v>538</v>
      </c>
      <c r="D188" s="4" t="s">
        <v>539</v>
      </c>
      <c r="E188" s="4" t="s">
        <v>1985</v>
      </c>
      <c r="F188" s="4" t="s">
        <v>402</v>
      </c>
    </row>
    <row r="189" customFormat="false" ht="23.85" hidden="false" customHeight="false" outlineLevel="0" collapsed="false">
      <c r="A189" s="4" t="n">
        <v>1932</v>
      </c>
      <c r="B189" s="4" t="s">
        <v>1986</v>
      </c>
      <c r="C189" s="4" t="s">
        <v>629</v>
      </c>
      <c r="D189" s="4" t="s">
        <v>630</v>
      </c>
      <c r="E189" s="4" t="s">
        <v>1987</v>
      </c>
      <c r="F189" s="4" t="s">
        <v>639</v>
      </c>
    </row>
    <row r="190" customFormat="false" ht="15" hidden="false" customHeight="false" outlineLevel="0" collapsed="false">
      <c r="A190" s="4" t="n">
        <v>1932</v>
      </c>
      <c r="B190" s="4" t="s">
        <v>1988</v>
      </c>
      <c r="C190" s="4" t="s">
        <v>652</v>
      </c>
      <c r="D190" s="4" t="s">
        <v>653</v>
      </c>
      <c r="E190" s="4" t="s">
        <v>1779</v>
      </c>
      <c r="F190" s="4" t="s">
        <v>1765</v>
      </c>
    </row>
    <row r="191" customFormat="false" ht="23.85" hidden="false" customHeight="false" outlineLevel="0" collapsed="false">
      <c r="A191" s="4" t="n">
        <v>1932</v>
      </c>
      <c r="B191" s="4" t="s">
        <v>1522</v>
      </c>
      <c r="C191" s="4" t="s">
        <v>660</v>
      </c>
      <c r="D191" s="4" t="s">
        <v>661</v>
      </c>
      <c r="E191" s="4" t="s">
        <v>1989</v>
      </c>
      <c r="F191" s="4" t="s">
        <v>1826</v>
      </c>
    </row>
    <row r="192" customFormat="false" ht="23.85" hidden="false" customHeight="false" outlineLevel="0" collapsed="false">
      <c r="A192" s="4" t="n">
        <v>1932</v>
      </c>
      <c r="B192" s="4" t="s">
        <v>1988</v>
      </c>
      <c r="C192" s="4" t="s">
        <v>650</v>
      </c>
      <c r="D192" s="4" t="s">
        <v>676</v>
      </c>
      <c r="E192" s="4" t="s">
        <v>1779</v>
      </c>
      <c r="F192" s="4" t="s">
        <v>1765</v>
      </c>
    </row>
    <row r="193" customFormat="false" ht="23.85" hidden="false" customHeight="false" outlineLevel="0" collapsed="false">
      <c r="A193" s="4" t="n">
        <v>1933</v>
      </c>
      <c r="B193" s="4" t="s">
        <v>1990</v>
      </c>
      <c r="C193" s="4" t="s">
        <v>51</v>
      </c>
      <c r="D193" s="4" t="s">
        <v>52</v>
      </c>
      <c r="E193" s="4" t="s">
        <v>1991</v>
      </c>
      <c r="F193" s="4" t="s">
        <v>1631</v>
      </c>
    </row>
    <row r="194" customFormat="false" ht="15" hidden="false" customHeight="false" outlineLevel="0" collapsed="false">
      <c r="A194" s="4" t="n">
        <v>1933</v>
      </c>
      <c r="B194" s="4" t="s">
        <v>1992</v>
      </c>
      <c r="C194" s="4" t="s">
        <v>115</v>
      </c>
      <c r="D194" s="4" t="s">
        <v>116</v>
      </c>
      <c r="E194" s="4" t="s">
        <v>1993</v>
      </c>
      <c r="F194" s="4" t="s">
        <v>125</v>
      </c>
    </row>
    <row r="195" customFormat="false" ht="15" hidden="false" customHeight="false" outlineLevel="0" collapsed="false">
      <c r="A195" s="4" t="n">
        <v>1935</v>
      </c>
      <c r="B195" s="4" t="s">
        <v>136</v>
      </c>
      <c r="C195" s="4" t="s">
        <v>128</v>
      </c>
      <c r="D195" s="4" t="s">
        <v>129</v>
      </c>
      <c r="E195" s="4" t="s">
        <v>1994</v>
      </c>
      <c r="F195" s="4" t="s">
        <v>1995</v>
      </c>
    </row>
    <row r="196" customFormat="false" ht="23.85" hidden="false" customHeight="false" outlineLevel="0" collapsed="false">
      <c r="A196" s="4" t="n">
        <v>1935</v>
      </c>
      <c r="B196" s="4" t="s">
        <v>1996</v>
      </c>
      <c r="C196" s="4" t="s">
        <v>268</v>
      </c>
      <c r="D196" s="4" t="s">
        <v>269</v>
      </c>
      <c r="E196" s="4" t="s">
        <v>1997</v>
      </c>
      <c r="F196" s="4" t="s">
        <v>566</v>
      </c>
    </row>
    <row r="197" customFormat="false" ht="23.85" hidden="false" customHeight="false" outlineLevel="0" collapsed="false">
      <c r="A197" s="4" t="n">
        <v>1935</v>
      </c>
      <c r="B197" s="4" t="s">
        <v>419</v>
      </c>
      <c r="C197" s="4" t="s">
        <v>365</v>
      </c>
      <c r="D197" s="4" t="s">
        <v>366</v>
      </c>
      <c r="E197" s="4" t="s">
        <v>1998</v>
      </c>
      <c r="F197" s="4" t="s">
        <v>1999</v>
      </c>
    </row>
    <row r="198" customFormat="false" ht="15" hidden="false" customHeight="false" outlineLevel="0" collapsed="false">
      <c r="A198" s="4" t="n">
        <v>1935</v>
      </c>
      <c r="B198" s="4" t="s">
        <v>419</v>
      </c>
      <c r="C198" s="4" t="s">
        <v>413</v>
      </c>
      <c r="D198" s="4" t="s">
        <v>414</v>
      </c>
      <c r="E198" s="4" t="s">
        <v>1779</v>
      </c>
      <c r="F198" s="4" t="s">
        <v>1796</v>
      </c>
    </row>
    <row r="199" customFormat="false" ht="23.85" hidden="false" customHeight="false" outlineLevel="0" collapsed="false">
      <c r="A199" s="4" t="n">
        <v>1935</v>
      </c>
      <c r="B199" s="4" t="s">
        <v>439</v>
      </c>
      <c r="C199" s="4" t="s">
        <v>434</v>
      </c>
      <c r="D199" s="4" t="s">
        <v>435</v>
      </c>
      <c r="E199" s="4" t="s">
        <v>2000</v>
      </c>
      <c r="F199" s="4" t="s">
        <v>2001</v>
      </c>
    </row>
    <row r="200" customFormat="false" ht="23.85" hidden="false" customHeight="false" outlineLevel="0" collapsed="false">
      <c r="A200" s="4" t="n">
        <v>1935</v>
      </c>
      <c r="B200" s="4" t="s">
        <v>695</v>
      </c>
      <c r="C200" s="4" t="s">
        <v>691</v>
      </c>
      <c r="D200" s="4" t="s">
        <v>692</v>
      </c>
      <c r="E200" s="4" t="s">
        <v>1779</v>
      </c>
      <c r="F200" s="4" t="s">
        <v>1724</v>
      </c>
    </row>
    <row r="201" customFormat="false" ht="23.85" hidden="false" customHeight="false" outlineLevel="0" collapsed="false">
      <c r="A201" s="4" t="n">
        <v>1936</v>
      </c>
      <c r="B201" s="4" t="s">
        <v>2002</v>
      </c>
      <c r="C201" s="4" t="s">
        <v>550</v>
      </c>
      <c r="D201" s="4" t="s">
        <v>551</v>
      </c>
      <c r="E201" s="4" t="s">
        <v>2003</v>
      </c>
      <c r="F201" s="4" t="s">
        <v>402</v>
      </c>
    </row>
    <row r="202" customFormat="false" ht="23.85" hidden="false" customHeight="false" outlineLevel="0" collapsed="false">
      <c r="A202" s="4" t="n">
        <v>1936</v>
      </c>
      <c r="B202" s="4" t="s">
        <v>617</v>
      </c>
      <c r="C202" s="4" t="s">
        <v>561</v>
      </c>
      <c r="D202" s="4" t="s">
        <v>562</v>
      </c>
      <c r="E202" s="4" t="s">
        <v>2004</v>
      </c>
      <c r="F202" s="4" t="s">
        <v>1946</v>
      </c>
    </row>
    <row r="203" customFormat="false" ht="15" hidden="false" customHeight="false" outlineLevel="0" collapsed="false">
      <c r="A203" s="4" t="n">
        <v>1936</v>
      </c>
      <c r="B203" s="4" t="s">
        <v>617</v>
      </c>
      <c r="C203" s="4" t="s">
        <v>614</v>
      </c>
      <c r="D203" s="4" t="s">
        <v>615</v>
      </c>
      <c r="E203" s="4" t="s">
        <v>1945</v>
      </c>
      <c r="F203" s="4" t="s">
        <v>1946</v>
      </c>
    </row>
    <row r="204" customFormat="false" ht="15" hidden="false" customHeight="false" outlineLevel="0" collapsed="false">
      <c r="A204" s="4" t="n">
        <v>1937</v>
      </c>
      <c r="B204" s="4" t="s">
        <v>2005</v>
      </c>
      <c r="C204" s="4" t="s">
        <v>81</v>
      </c>
      <c r="D204" s="4" t="s">
        <v>82</v>
      </c>
      <c r="E204" s="4" t="s">
        <v>2006</v>
      </c>
      <c r="F204" s="4" t="s">
        <v>1753</v>
      </c>
    </row>
    <row r="205" customFormat="false" ht="23.85" hidden="false" customHeight="false" outlineLevel="0" collapsed="false">
      <c r="A205" s="4" t="n">
        <v>1939</v>
      </c>
      <c r="B205" s="4" t="s">
        <v>673</v>
      </c>
      <c r="C205" s="4" t="s">
        <v>669</v>
      </c>
      <c r="D205" s="4" t="s">
        <v>670</v>
      </c>
      <c r="E205" s="4" t="s">
        <v>1779</v>
      </c>
      <c r="F205" s="4" t="s">
        <v>1765</v>
      </c>
    </row>
    <row r="206" customFormat="false" ht="15" hidden="false" customHeight="false" outlineLevel="0" collapsed="false">
      <c r="A206" s="4" t="n">
        <v>1942</v>
      </c>
      <c r="B206" s="4" t="s">
        <v>2007</v>
      </c>
      <c r="C206" s="4" t="s">
        <v>81</v>
      </c>
      <c r="D206" s="4" t="s">
        <v>82</v>
      </c>
      <c r="E206" s="4" t="s">
        <v>2008</v>
      </c>
      <c r="F206" s="4" t="s">
        <v>1753</v>
      </c>
    </row>
    <row r="207" customFormat="false" ht="15" hidden="false" customHeight="false" outlineLevel="0" collapsed="false">
      <c r="A207" s="4" t="n">
        <v>1943</v>
      </c>
      <c r="B207" s="4" t="s">
        <v>2009</v>
      </c>
      <c r="C207" s="4" t="s">
        <v>499</v>
      </c>
      <c r="D207" s="4" t="s">
        <v>500</v>
      </c>
      <c r="E207" s="4" t="s">
        <v>2010</v>
      </c>
      <c r="F207" s="4" t="s">
        <v>2011</v>
      </c>
    </row>
    <row r="208" customFormat="false" ht="15" hidden="false" customHeight="false" outlineLevel="0" collapsed="false">
      <c r="A208" s="4" t="n">
        <v>1945</v>
      </c>
      <c r="B208" s="4" t="s">
        <v>2012</v>
      </c>
      <c r="C208" s="4" t="s">
        <v>233</v>
      </c>
      <c r="D208" s="4" t="s">
        <v>234</v>
      </c>
      <c r="E208" s="4" t="s">
        <v>2013</v>
      </c>
      <c r="F208" s="4" t="s">
        <v>1753</v>
      </c>
    </row>
    <row r="209" customFormat="false" ht="15" hidden="false" customHeight="false" outlineLevel="0" collapsed="false">
      <c r="A209" s="4" t="n">
        <v>1948</v>
      </c>
      <c r="B209" s="4" t="s">
        <v>2014</v>
      </c>
      <c r="C209" s="4" t="s">
        <v>233</v>
      </c>
      <c r="D209" s="4" t="s">
        <v>234</v>
      </c>
      <c r="E209" s="4" t="s">
        <v>2015</v>
      </c>
      <c r="F209" s="4" t="s">
        <v>149</v>
      </c>
    </row>
    <row r="210" customFormat="false" ht="15" hidden="false" customHeight="false" outlineLevel="0" collapsed="false">
      <c r="A210" s="4" t="n">
        <v>1948</v>
      </c>
      <c r="B210" s="4" t="s">
        <v>2016</v>
      </c>
      <c r="C210" s="4" t="s">
        <v>352</v>
      </c>
      <c r="D210" s="4" t="s">
        <v>354</v>
      </c>
      <c r="E210" s="4" t="s">
        <v>2017</v>
      </c>
      <c r="F210" s="4" t="s">
        <v>421</v>
      </c>
    </row>
    <row r="211" customFormat="false" ht="23.85" hidden="false" customHeight="false" outlineLevel="0" collapsed="false">
      <c r="A211" s="4" t="n">
        <v>1948</v>
      </c>
      <c r="B211" s="4" t="s">
        <v>2018</v>
      </c>
      <c r="C211" s="4" t="s">
        <v>603</v>
      </c>
      <c r="D211" s="4" t="s">
        <v>604</v>
      </c>
      <c r="E211" s="4" t="s">
        <v>2019</v>
      </c>
      <c r="F211" s="4" t="s">
        <v>517</v>
      </c>
    </row>
    <row r="212" customFormat="false" ht="15" hidden="false" customHeight="false" outlineLevel="0" collapsed="false">
      <c r="A212" s="4" t="n">
        <v>1949</v>
      </c>
      <c r="B212" s="4" t="s">
        <v>2020</v>
      </c>
      <c r="C212" s="4" t="s">
        <v>162</v>
      </c>
      <c r="D212" s="4" t="s">
        <v>163</v>
      </c>
      <c r="E212" s="4" t="s">
        <v>2021</v>
      </c>
      <c r="F212" s="4" t="s">
        <v>99</v>
      </c>
    </row>
    <row r="213" customFormat="false" ht="15" hidden="false" customHeight="false" outlineLevel="0" collapsed="false">
      <c r="A213" s="4" t="n">
        <v>1949</v>
      </c>
      <c r="B213" s="4" t="s">
        <v>219</v>
      </c>
      <c r="C213" s="4" t="s">
        <v>89</v>
      </c>
      <c r="D213" s="4" t="s">
        <v>211</v>
      </c>
      <c r="E213" s="4" t="s">
        <v>2022</v>
      </c>
      <c r="F213" s="4" t="s">
        <v>2023</v>
      </c>
    </row>
    <row r="214" customFormat="false" ht="23.85" hidden="false" customHeight="false" outlineLevel="0" collapsed="false">
      <c r="A214" s="4" t="n">
        <v>1949</v>
      </c>
      <c r="B214" s="4" t="s">
        <v>219</v>
      </c>
      <c r="C214" s="4" t="s">
        <v>89</v>
      </c>
      <c r="D214" s="4" t="s">
        <v>211</v>
      </c>
      <c r="E214" s="4" t="s">
        <v>2024</v>
      </c>
      <c r="F214" s="4" t="s">
        <v>2025</v>
      </c>
    </row>
    <row r="215" customFormat="false" ht="23.85" hidden="false" customHeight="false" outlineLevel="0" collapsed="false">
      <c r="A215" s="4" t="n">
        <v>1949</v>
      </c>
      <c r="B215" s="4" t="s">
        <v>2026</v>
      </c>
      <c r="C215" s="4" t="s">
        <v>509</v>
      </c>
      <c r="D215" s="4" t="s">
        <v>510</v>
      </c>
      <c r="E215" s="4" t="s">
        <v>2027</v>
      </c>
      <c r="F215" s="4" t="s">
        <v>517</v>
      </c>
    </row>
    <row r="216" customFormat="false" ht="15" hidden="false" customHeight="false" outlineLevel="0" collapsed="false">
      <c r="A216" s="4" t="n">
        <v>1956</v>
      </c>
      <c r="B216" s="4" t="s">
        <v>2028</v>
      </c>
      <c r="C216" s="4" t="s">
        <v>603</v>
      </c>
      <c r="D216" s="4" t="s">
        <v>604</v>
      </c>
      <c r="E216" s="4" t="s">
        <v>2029</v>
      </c>
      <c r="F216" s="4" t="s">
        <v>149</v>
      </c>
    </row>
    <row r="217" customFormat="false" ht="15" hidden="false" customHeight="false" outlineLevel="0" collapsed="false">
      <c r="A217" s="4" t="n">
        <v>1958</v>
      </c>
      <c r="B217" s="4" t="s">
        <v>2030</v>
      </c>
      <c r="C217" s="4" t="s">
        <v>322</v>
      </c>
      <c r="D217" s="4" t="s">
        <v>323</v>
      </c>
      <c r="E217" s="4" t="s">
        <v>2031</v>
      </c>
      <c r="F217" s="4" t="s">
        <v>2032</v>
      </c>
    </row>
    <row r="218" customFormat="false" ht="23.85" hidden="false" customHeight="false" outlineLevel="0" collapsed="false">
      <c r="A218" s="4" t="n">
        <v>1958</v>
      </c>
      <c r="B218" s="4" t="s">
        <v>2033</v>
      </c>
      <c r="C218" s="4" t="s">
        <v>332</v>
      </c>
      <c r="D218" s="4" t="s">
        <v>333</v>
      </c>
      <c r="E218" s="4" t="s">
        <v>1779</v>
      </c>
      <c r="F218" s="4" t="s">
        <v>1741</v>
      </c>
    </row>
    <row r="219" customFormat="false" ht="15" hidden="false" customHeight="false" outlineLevel="0" collapsed="false">
      <c r="A219" s="4" t="n">
        <v>1958</v>
      </c>
      <c r="B219" s="4" t="s">
        <v>2030</v>
      </c>
      <c r="C219" s="4" t="s">
        <v>341</v>
      </c>
      <c r="D219" s="4" t="s">
        <v>342</v>
      </c>
      <c r="E219" s="4" t="s">
        <v>2034</v>
      </c>
      <c r="F219" s="4" t="s">
        <v>2035</v>
      </c>
    </row>
    <row r="220" customFormat="false" ht="15" hidden="false" customHeight="false" outlineLevel="0" collapsed="false">
      <c r="A220" s="4" t="n">
        <v>1958</v>
      </c>
      <c r="B220" s="4" t="s">
        <v>2030</v>
      </c>
      <c r="C220" s="4" t="s">
        <v>489</v>
      </c>
      <c r="D220" s="4" t="s">
        <v>490</v>
      </c>
      <c r="E220" s="4" t="s">
        <v>2036</v>
      </c>
      <c r="F220" s="4" t="s">
        <v>1975</v>
      </c>
    </row>
    <row r="221" customFormat="false" ht="23.85" hidden="false" customHeight="false" outlineLevel="0" collapsed="false">
      <c r="A221" s="4" t="n">
        <v>1960</v>
      </c>
      <c r="B221" s="4" t="s">
        <v>75</v>
      </c>
      <c r="C221" s="4" t="s">
        <v>51</v>
      </c>
      <c r="D221" s="4" t="s">
        <v>52</v>
      </c>
      <c r="E221" s="4" t="s">
        <v>2037</v>
      </c>
      <c r="F221" s="4" t="s">
        <v>2032</v>
      </c>
    </row>
    <row r="222" customFormat="false" ht="15" hidden="false" customHeight="false" outlineLevel="0" collapsed="false">
      <c r="A222" s="4" t="n">
        <v>1960</v>
      </c>
      <c r="B222" s="4" t="s">
        <v>75</v>
      </c>
      <c r="C222" s="4" t="s">
        <v>68</v>
      </c>
      <c r="D222" s="4" t="s">
        <v>69</v>
      </c>
      <c r="E222" s="4" t="s">
        <v>2038</v>
      </c>
      <c r="F222" s="4" t="s">
        <v>2039</v>
      </c>
    </row>
    <row r="223" customFormat="false" ht="15" hidden="false" customHeight="false" outlineLevel="0" collapsed="false">
      <c r="A223" s="4" t="n">
        <v>1960</v>
      </c>
      <c r="B223" s="4" t="s">
        <v>75</v>
      </c>
      <c r="C223" s="4" t="s">
        <v>201</v>
      </c>
      <c r="D223" s="4" t="s">
        <v>202</v>
      </c>
      <c r="E223" s="4" t="s">
        <v>2040</v>
      </c>
      <c r="F223" s="4" t="s">
        <v>1768</v>
      </c>
    </row>
    <row r="224" customFormat="false" ht="23.85" hidden="false" customHeight="false" outlineLevel="0" collapsed="false">
      <c r="A224" s="4" t="n">
        <v>1960</v>
      </c>
      <c r="B224" s="4" t="s">
        <v>75</v>
      </c>
      <c r="C224" s="4" t="s">
        <v>451</v>
      </c>
      <c r="D224" s="4" t="s">
        <v>453</v>
      </c>
      <c r="E224" s="4" t="s">
        <v>2041</v>
      </c>
      <c r="F224" s="4" t="s">
        <v>1975</v>
      </c>
    </row>
    <row r="225" customFormat="false" ht="15" hidden="false" customHeight="false" outlineLevel="0" collapsed="false">
      <c r="A225" s="4" t="n">
        <v>1960</v>
      </c>
      <c r="B225" s="4" t="s">
        <v>1496</v>
      </c>
      <c r="C225" s="4" t="s">
        <v>499</v>
      </c>
      <c r="D225" s="4" t="s">
        <v>500</v>
      </c>
      <c r="E225" s="4" t="s">
        <v>2042</v>
      </c>
      <c r="F225" s="4" t="s">
        <v>2011</v>
      </c>
    </row>
    <row r="226" customFormat="false" ht="23.85" hidden="false" customHeight="false" outlineLevel="0" collapsed="false">
      <c r="A226" s="4" t="n">
        <v>1961</v>
      </c>
      <c r="B226" s="4" t="s">
        <v>111</v>
      </c>
      <c r="C226" s="4" t="s">
        <v>102</v>
      </c>
      <c r="D226" s="4" t="s">
        <v>103</v>
      </c>
      <c r="E226" s="4" t="s">
        <v>2043</v>
      </c>
      <c r="F226" s="4" t="s">
        <v>402</v>
      </c>
    </row>
    <row r="227" customFormat="false" ht="15" hidden="false" customHeight="false" outlineLevel="0" collapsed="false">
      <c r="A227" s="4" t="n">
        <v>1961</v>
      </c>
      <c r="B227" s="4" t="s">
        <v>111</v>
      </c>
      <c r="C227" s="4" t="s">
        <v>173</v>
      </c>
      <c r="D227" s="4" t="s">
        <v>174</v>
      </c>
      <c r="E227" s="4" t="s">
        <v>2044</v>
      </c>
      <c r="F227" s="4" t="s">
        <v>566</v>
      </c>
    </row>
    <row r="228" customFormat="false" ht="15" hidden="false" customHeight="false" outlineLevel="0" collapsed="false">
      <c r="A228" s="4" t="n">
        <v>1961</v>
      </c>
      <c r="B228" s="4" t="s">
        <v>111</v>
      </c>
      <c r="C228" s="4" t="s">
        <v>257</v>
      </c>
      <c r="D228" s="4" t="s">
        <v>258</v>
      </c>
      <c r="E228" s="4" t="s">
        <v>2045</v>
      </c>
      <c r="F228" s="4" t="s">
        <v>566</v>
      </c>
    </row>
    <row r="229" customFormat="false" ht="23.85" hidden="false" customHeight="false" outlineLevel="0" collapsed="false">
      <c r="A229" s="4" t="n">
        <v>1961</v>
      </c>
      <c r="B229" s="4" t="s">
        <v>111</v>
      </c>
      <c r="C229" s="4" t="s">
        <v>478</v>
      </c>
      <c r="D229" s="4" t="s">
        <v>479</v>
      </c>
      <c r="E229" s="4" t="s">
        <v>2046</v>
      </c>
      <c r="F229" s="4" t="s">
        <v>402</v>
      </c>
    </row>
    <row r="230" customFormat="false" ht="23.85" hidden="false" customHeight="false" outlineLevel="0" collapsed="false">
      <c r="A230" s="4" t="n">
        <v>1962</v>
      </c>
      <c r="B230" s="4" t="s">
        <v>157</v>
      </c>
      <c r="C230" s="4" t="s">
        <v>51</v>
      </c>
      <c r="D230" s="4" t="s">
        <v>52</v>
      </c>
      <c r="E230" s="4" t="s">
        <v>2047</v>
      </c>
      <c r="F230" s="4" t="s">
        <v>1631</v>
      </c>
    </row>
    <row r="231" customFormat="false" ht="15" hidden="false" customHeight="false" outlineLevel="0" collapsed="false">
      <c r="A231" s="4" t="n">
        <v>1962</v>
      </c>
      <c r="B231" s="4" t="s">
        <v>157</v>
      </c>
      <c r="C231" s="4" t="s">
        <v>81</v>
      </c>
      <c r="D231" s="4" t="s">
        <v>82</v>
      </c>
      <c r="E231" s="4" t="s">
        <v>2048</v>
      </c>
      <c r="F231" s="4" t="s">
        <v>2049</v>
      </c>
    </row>
    <row r="232" customFormat="false" ht="15" hidden="false" customHeight="false" outlineLevel="0" collapsed="false">
      <c r="A232" s="4" t="n">
        <v>1962</v>
      </c>
      <c r="B232" s="4" t="s">
        <v>157</v>
      </c>
      <c r="C232" s="4" t="s">
        <v>152</v>
      </c>
      <c r="D232" s="4" t="s">
        <v>153</v>
      </c>
      <c r="E232" s="4" t="s">
        <v>2050</v>
      </c>
      <c r="F232" s="4" t="s">
        <v>402</v>
      </c>
    </row>
    <row r="233" customFormat="false" ht="15" hidden="false" customHeight="false" outlineLevel="0" collapsed="false">
      <c r="A233" s="4" t="n">
        <v>1962</v>
      </c>
      <c r="B233" s="4" t="s">
        <v>619</v>
      </c>
      <c r="C233" s="4" t="s">
        <v>614</v>
      </c>
      <c r="D233" s="4" t="s">
        <v>615</v>
      </c>
      <c r="E233" s="4" t="s">
        <v>2051</v>
      </c>
      <c r="F233" s="4" t="s">
        <v>1946</v>
      </c>
    </row>
    <row r="234" customFormat="false" ht="23.85" hidden="false" customHeight="false" outlineLevel="0" collapsed="false">
      <c r="A234" s="4" t="n">
        <v>1962</v>
      </c>
      <c r="B234" s="4" t="s">
        <v>157</v>
      </c>
      <c r="C234" s="4" t="s">
        <v>620</v>
      </c>
      <c r="D234" s="4" t="s">
        <v>621</v>
      </c>
      <c r="E234" s="4" t="s">
        <v>2052</v>
      </c>
      <c r="F234" s="4" t="s">
        <v>1724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3" min="3" style="0" width="30"/>
    <col collapsed="false" customWidth="true" hidden="false" outlineLevel="0" max="4" min="4" style="0" width="20"/>
    <col collapsed="false" customWidth="true" hidden="false" outlineLevel="0" max="5" min="5" style="0" width="90"/>
    <col collapsed="false" customWidth="true" hidden="false" outlineLevel="0" max="6" min="6" style="0" width="26"/>
    <col collapsed="false" customWidth="true" hidden="false" outlineLevel="0" max="7" min="7" style="0" width="14"/>
    <col collapsed="false" customWidth="true" hidden="false" outlineLevel="0" max="8" min="8" style="0" width="32"/>
  </cols>
  <sheetData>
    <row r="1" customFormat="false" ht="15" hidden="false" customHeight="false" outlineLevel="0" collapsed="false">
      <c r="A1" s="6" t="s">
        <v>2053</v>
      </c>
    </row>
    <row r="2" customFormat="false" ht="15" hidden="false" customHeight="false" outlineLevel="0" collapsed="false">
      <c r="A2" s="10" t="s">
        <v>2054</v>
      </c>
    </row>
    <row r="3" customFormat="false" ht="15" hidden="false" customHeight="false" outlineLevel="0" collapsed="false">
      <c r="A3" s="11" t="s">
        <v>2055</v>
      </c>
      <c r="B3" s="11" t="s">
        <v>1618</v>
      </c>
      <c r="C3" s="11" t="s">
        <v>2056</v>
      </c>
      <c r="D3" s="11" t="s">
        <v>2057</v>
      </c>
      <c r="E3" s="11" t="s">
        <v>2058</v>
      </c>
      <c r="F3" s="11" t="s">
        <v>2059</v>
      </c>
      <c r="G3" s="11" t="s">
        <v>1620</v>
      </c>
      <c r="H3" s="11" t="s">
        <v>45</v>
      </c>
    </row>
    <row r="4" customFormat="false" ht="68.65" hidden="false" customHeight="false" outlineLevel="0" collapsed="false">
      <c r="A4" s="4" t="s">
        <v>1623</v>
      </c>
      <c r="B4" s="4" t="n">
        <v>1862</v>
      </c>
      <c r="C4" s="4" t="s">
        <v>2060</v>
      </c>
      <c r="D4" s="4" t="s">
        <v>2061</v>
      </c>
      <c r="E4" s="4" t="s">
        <v>2062</v>
      </c>
      <c r="F4" s="4" t="s">
        <v>2063</v>
      </c>
      <c r="G4" s="4" t="s">
        <v>2064</v>
      </c>
      <c r="H4" s="4" t="s">
        <v>2065</v>
      </c>
    </row>
    <row r="5" customFormat="false" ht="23.85" hidden="false" customHeight="false" outlineLevel="0" collapsed="false">
      <c r="A5" s="4" t="s">
        <v>1645</v>
      </c>
      <c r="B5" s="4" t="n">
        <v>1864</v>
      </c>
      <c r="C5" s="4" t="s">
        <v>2060</v>
      </c>
      <c r="D5" s="4" t="s">
        <v>2066</v>
      </c>
      <c r="E5" s="4" t="s">
        <v>2067</v>
      </c>
      <c r="F5" s="4" t="s">
        <v>2068</v>
      </c>
      <c r="G5" s="4" t="s">
        <v>2069</v>
      </c>
      <c r="H5" s="4"/>
    </row>
    <row r="6" customFormat="false" ht="23.85" hidden="false" customHeight="false" outlineLevel="0" collapsed="false">
      <c r="A6" s="4" t="s">
        <v>1683</v>
      </c>
      <c r="B6" s="4" t="n">
        <v>1875</v>
      </c>
      <c r="C6" s="4" t="s">
        <v>2060</v>
      </c>
      <c r="D6" s="4" t="s">
        <v>2070</v>
      </c>
      <c r="E6" s="4" t="s">
        <v>2071</v>
      </c>
      <c r="F6" s="4" t="s">
        <v>2063</v>
      </c>
      <c r="G6" s="4" t="s">
        <v>51</v>
      </c>
      <c r="H6" s="4" t="s">
        <v>2072</v>
      </c>
    </row>
    <row r="7" customFormat="false" ht="23.85" hidden="false" customHeight="false" outlineLevel="0" collapsed="false">
      <c r="A7" s="4" t="s">
        <v>1683</v>
      </c>
      <c r="B7" s="4" t="n">
        <v>1875</v>
      </c>
      <c r="C7" s="4" t="s">
        <v>2060</v>
      </c>
      <c r="D7" s="4" t="s">
        <v>2066</v>
      </c>
      <c r="E7" s="4" t="s">
        <v>2073</v>
      </c>
      <c r="F7" s="4" t="s">
        <v>2063</v>
      </c>
      <c r="G7" s="4" t="s">
        <v>68</v>
      </c>
      <c r="H7" s="4"/>
    </row>
    <row r="8" customFormat="false" ht="23.85" hidden="false" customHeight="false" outlineLevel="0" collapsed="false">
      <c r="A8" s="4" t="s">
        <v>1776</v>
      </c>
      <c r="B8" s="4" t="n">
        <v>1894</v>
      </c>
      <c r="C8" s="4" t="s">
        <v>2060</v>
      </c>
      <c r="D8" s="4" t="s">
        <v>2074</v>
      </c>
      <c r="E8" s="4" t="s">
        <v>2075</v>
      </c>
      <c r="F8" s="4" t="s">
        <v>2076</v>
      </c>
      <c r="G8" s="4" t="s">
        <v>51</v>
      </c>
      <c r="H8" s="4"/>
    </row>
    <row r="9" customFormat="false" ht="23.85" hidden="false" customHeight="false" outlineLevel="0" collapsed="false">
      <c r="A9" s="4" t="s">
        <v>1648</v>
      </c>
      <c r="B9" s="4" t="n">
        <v>1864</v>
      </c>
      <c r="C9" s="4" t="s">
        <v>2077</v>
      </c>
      <c r="D9" s="4" t="s">
        <v>2061</v>
      </c>
      <c r="E9" s="4" t="s">
        <v>2078</v>
      </c>
      <c r="F9" s="4" t="s">
        <v>2068</v>
      </c>
      <c r="G9" s="4" t="s">
        <v>2079</v>
      </c>
      <c r="H9" s="4" t="s">
        <v>2080</v>
      </c>
    </row>
    <row r="10" customFormat="false" ht="23.85" hidden="false" customHeight="false" outlineLevel="0" collapsed="false">
      <c r="A10" s="4" t="s">
        <v>1656</v>
      </c>
      <c r="B10" s="4" t="n">
        <v>1865</v>
      </c>
      <c r="C10" s="4" t="s">
        <v>2077</v>
      </c>
      <c r="D10" s="4" t="s">
        <v>2066</v>
      </c>
      <c r="E10" s="4" t="s">
        <v>2081</v>
      </c>
      <c r="F10" s="4" t="s">
        <v>2068</v>
      </c>
      <c r="G10" s="4" t="s">
        <v>2082</v>
      </c>
      <c r="H10" s="4" t="s">
        <v>2083</v>
      </c>
    </row>
    <row r="11" customFormat="false" ht="23.85" hidden="false" customHeight="false" outlineLevel="0" collapsed="false">
      <c r="A11" s="4" t="s">
        <v>1659</v>
      </c>
      <c r="B11" s="4" t="n">
        <v>1868</v>
      </c>
      <c r="C11" s="4" t="s">
        <v>2084</v>
      </c>
      <c r="D11" s="4" t="s">
        <v>2061</v>
      </c>
      <c r="E11" s="4" t="s">
        <v>2085</v>
      </c>
      <c r="F11" s="4" t="s">
        <v>2086</v>
      </c>
      <c r="G11" s="4" t="s">
        <v>162</v>
      </c>
      <c r="H11" s="4"/>
    </row>
    <row r="12" customFormat="false" ht="23.85" hidden="false" customHeight="false" outlineLevel="0" collapsed="false">
      <c r="A12" s="4" t="s">
        <v>1666</v>
      </c>
      <c r="B12" s="4" t="n">
        <v>1872</v>
      </c>
      <c r="C12" s="4" t="s">
        <v>2087</v>
      </c>
      <c r="D12" s="4" t="s">
        <v>2061</v>
      </c>
      <c r="E12" s="4" t="s">
        <v>2088</v>
      </c>
      <c r="F12" s="4" t="s">
        <v>2089</v>
      </c>
      <c r="G12" s="4" t="s">
        <v>128</v>
      </c>
      <c r="H12" s="4"/>
    </row>
    <row r="13" customFormat="false" ht="23.85" hidden="false" customHeight="false" outlineLevel="0" collapsed="false">
      <c r="A13" s="4" t="s">
        <v>1666</v>
      </c>
      <c r="B13" s="4" t="n">
        <v>1872</v>
      </c>
      <c r="C13" s="4" t="s">
        <v>2090</v>
      </c>
      <c r="D13" s="4" t="s">
        <v>2061</v>
      </c>
      <c r="E13" s="4" t="s">
        <v>2091</v>
      </c>
      <c r="F13" s="4" t="s">
        <v>2092</v>
      </c>
      <c r="G13" s="4" t="s">
        <v>183</v>
      </c>
      <c r="H13" s="4" t="s">
        <v>2093</v>
      </c>
    </row>
    <row r="14" customFormat="false" ht="23.85" hidden="false" customHeight="false" outlineLevel="0" collapsed="false">
      <c r="A14" s="4" t="s">
        <v>2094</v>
      </c>
      <c r="B14" s="4" t="n">
        <v>1894</v>
      </c>
      <c r="C14" s="4" t="s">
        <v>2077</v>
      </c>
      <c r="D14" s="4" t="s">
        <v>2095</v>
      </c>
      <c r="E14" s="4" t="s">
        <v>2096</v>
      </c>
      <c r="F14" s="4" t="s">
        <v>2097</v>
      </c>
      <c r="G14" s="4" t="s">
        <v>152</v>
      </c>
      <c r="H14" s="4"/>
    </row>
    <row r="15" customFormat="false" ht="35.05" hidden="false" customHeight="false" outlineLevel="0" collapsed="false">
      <c r="A15" s="4" t="s">
        <v>1787</v>
      </c>
      <c r="B15" s="4" t="n">
        <v>1895</v>
      </c>
      <c r="C15" s="4" t="s">
        <v>2077</v>
      </c>
      <c r="D15" s="4" t="s">
        <v>2066</v>
      </c>
      <c r="E15" s="4" t="s">
        <v>2098</v>
      </c>
      <c r="F15" s="4" t="s">
        <v>2063</v>
      </c>
      <c r="G15" s="4" t="s">
        <v>2099</v>
      </c>
      <c r="H15" s="4" t="s">
        <v>2100</v>
      </c>
    </row>
    <row r="16" customFormat="false" ht="15" hidden="false" customHeight="false" outlineLevel="0" collapsed="false">
      <c r="A16" s="4" t="s">
        <v>1832</v>
      </c>
      <c r="B16" s="4" t="n">
        <v>1897</v>
      </c>
      <c r="C16" s="4" t="s">
        <v>2077</v>
      </c>
      <c r="D16" s="4" t="s">
        <v>2101</v>
      </c>
      <c r="E16" s="4" t="s">
        <v>2102</v>
      </c>
      <c r="F16" s="4" t="s">
        <v>2063</v>
      </c>
      <c r="G16" s="4" t="s">
        <v>173</v>
      </c>
      <c r="H16" s="4"/>
    </row>
    <row r="17" customFormat="false" ht="23.85" hidden="false" customHeight="false" outlineLevel="0" collapsed="false">
      <c r="A17" s="4" t="s">
        <v>1879</v>
      </c>
      <c r="B17" s="4" t="n">
        <v>1900</v>
      </c>
      <c r="C17" s="4" t="s">
        <v>2077</v>
      </c>
      <c r="D17" s="4" t="s">
        <v>2101</v>
      </c>
      <c r="E17" s="4" t="s">
        <v>2103</v>
      </c>
      <c r="F17" s="4" t="s">
        <v>2104</v>
      </c>
      <c r="G17" s="4" t="s">
        <v>173</v>
      </c>
      <c r="H17" s="4" t="s">
        <v>2105</v>
      </c>
    </row>
    <row r="18" customFormat="false" ht="23.85" hidden="false" customHeight="false" outlineLevel="0" collapsed="false">
      <c r="A18" s="4" t="s">
        <v>1688</v>
      </c>
      <c r="B18" s="4" t="n">
        <v>1875</v>
      </c>
      <c r="C18" s="4" t="s">
        <v>2106</v>
      </c>
      <c r="D18" s="4" t="s">
        <v>2107</v>
      </c>
      <c r="E18" s="4" t="s">
        <v>2108</v>
      </c>
      <c r="F18" s="4" t="s">
        <v>2068</v>
      </c>
      <c r="G18" s="4" t="s">
        <v>244</v>
      </c>
      <c r="H18" s="4"/>
    </row>
    <row r="19" customFormat="false" ht="35.05" hidden="false" customHeight="false" outlineLevel="0" collapsed="false">
      <c r="A19" s="4" t="s">
        <v>1706</v>
      </c>
      <c r="B19" s="4" t="n">
        <v>1888</v>
      </c>
      <c r="C19" s="4" t="s">
        <v>2106</v>
      </c>
      <c r="D19" s="4" t="s">
        <v>2066</v>
      </c>
      <c r="E19" s="4" t="s">
        <v>2109</v>
      </c>
      <c r="F19" s="4" t="s">
        <v>2068</v>
      </c>
      <c r="G19" s="4" t="s">
        <v>244</v>
      </c>
      <c r="H19" s="4"/>
    </row>
    <row r="20" customFormat="false" ht="57.45" hidden="false" customHeight="false" outlineLevel="0" collapsed="false">
      <c r="A20" s="4" t="s">
        <v>2110</v>
      </c>
      <c r="B20" s="4" t="n">
        <v>1900</v>
      </c>
      <c r="C20" s="4" t="s">
        <v>2111</v>
      </c>
      <c r="D20" s="4" t="s">
        <v>2112</v>
      </c>
      <c r="E20" s="4" t="s">
        <v>2113</v>
      </c>
      <c r="F20" s="4" t="s">
        <v>2114</v>
      </c>
      <c r="G20" s="4" t="s">
        <v>2115</v>
      </c>
      <c r="H20" s="4"/>
    </row>
    <row r="21" customFormat="false" ht="23.85" hidden="false" customHeight="false" outlineLevel="0" collapsed="false">
      <c r="A21" s="4" t="s">
        <v>1895</v>
      </c>
      <c r="B21" s="4" t="n">
        <v>1902</v>
      </c>
      <c r="C21" s="4" t="s">
        <v>2106</v>
      </c>
      <c r="D21" s="4" t="s">
        <v>2101</v>
      </c>
      <c r="E21" s="4" t="s">
        <v>2116</v>
      </c>
      <c r="F21" s="4" t="s">
        <v>2117</v>
      </c>
      <c r="G21" s="4" t="s">
        <v>257</v>
      </c>
      <c r="H21" s="4"/>
    </row>
    <row r="22" customFormat="false" ht="46.25" hidden="false" customHeight="false" outlineLevel="0" collapsed="false">
      <c r="A22" s="4" t="s">
        <v>1683</v>
      </c>
      <c r="B22" s="4" t="n">
        <v>1875</v>
      </c>
      <c r="C22" s="4" t="s">
        <v>2118</v>
      </c>
      <c r="D22" s="4" t="s">
        <v>2061</v>
      </c>
      <c r="E22" s="4" t="s">
        <v>2119</v>
      </c>
      <c r="F22" s="4" t="s">
        <v>2063</v>
      </c>
      <c r="G22" s="4" t="s">
        <v>266</v>
      </c>
      <c r="H22" s="4"/>
    </row>
    <row r="23" customFormat="false" ht="23.85" hidden="false" customHeight="false" outlineLevel="0" collapsed="false">
      <c r="A23" s="4" t="s">
        <v>2120</v>
      </c>
      <c r="B23" s="4" t="n">
        <v>1876</v>
      </c>
      <c r="C23" s="4" t="s">
        <v>2121</v>
      </c>
      <c r="D23" s="4" t="s">
        <v>2066</v>
      </c>
      <c r="E23" s="4" t="s">
        <v>2122</v>
      </c>
      <c r="F23" s="4" t="s">
        <v>2063</v>
      </c>
      <c r="G23" s="4" t="s">
        <v>266</v>
      </c>
      <c r="H23" s="4"/>
    </row>
    <row r="24" customFormat="false" ht="35.05" hidden="false" customHeight="false" outlineLevel="0" collapsed="false">
      <c r="A24" s="4" t="s">
        <v>2123</v>
      </c>
      <c r="B24" s="4" t="n">
        <v>1881</v>
      </c>
      <c r="C24" s="4" t="s">
        <v>2121</v>
      </c>
      <c r="D24" s="4" t="s">
        <v>2066</v>
      </c>
      <c r="E24" s="4" t="s">
        <v>2124</v>
      </c>
      <c r="F24" s="4" t="s">
        <v>2063</v>
      </c>
      <c r="G24" s="4" t="s">
        <v>2125</v>
      </c>
      <c r="H24" s="4"/>
    </row>
    <row r="25" customFormat="false" ht="23.85" hidden="false" customHeight="false" outlineLevel="0" collapsed="false">
      <c r="A25" s="4" t="s">
        <v>1818</v>
      </c>
      <c r="B25" s="4" t="n">
        <v>1896</v>
      </c>
      <c r="C25" s="4" t="s">
        <v>2121</v>
      </c>
      <c r="D25" s="4" t="s">
        <v>2101</v>
      </c>
      <c r="E25" s="4" t="s">
        <v>2126</v>
      </c>
      <c r="F25" s="4" t="s">
        <v>2127</v>
      </c>
      <c r="G25" s="4" t="s">
        <v>594</v>
      </c>
      <c r="H25" s="4" t="s">
        <v>2128</v>
      </c>
    </row>
    <row r="26" customFormat="false" ht="23.85" hidden="false" customHeight="false" outlineLevel="0" collapsed="false">
      <c r="A26" s="4" t="s">
        <v>1709</v>
      </c>
      <c r="B26" s="4" t="n">
        <v>1888</v>
      </c>
      <c r="C26" s="4" t="s">
        <v>2129</v>
      </c>
      <c r="D26" s="4" t="s">
        <v>2061</v>
      </c>
      <c r="E26" s="4" t="s">
        <v>2130</v>
      </c>
      <c r="F26" s="4" t="s">
        <v>2068</v>
      </c>
      <c r="G26" s="4" t="s">
        <v>2131</v>
      </c>
      <c r="H26" s="4"/>
    </row>
    <row r="27" customFormat="false" ht="35.05" hidden="false" customHeight="false" outlineLevel="0" collapsed="false">
      <c r="A27" s="4" t="s">
        <v>2132</v>
      </c>
      <c r="B27" s="4" t="n">
        <v>1890</v>
      </c>
      <c r="C27" s="4" t="s">
        <v>2129</v>
      </c>
      <c r="D27" s="4" t="s">
        <v>2101</v>
      </c>
      <c r="E27" s="4" t="s">
        <v>2133</v>
      </c>
      <c r="F27" s="4" t="s">
        <v>2063</v>
      </c>
      <c r="G27" s="4" t="s">
        <v>2134</v>
      </c>
      <c r="H27" s="4"/>
    </row>
    <row r="28" customFormat="false" ht="46.25" hidden="false" customHeight="false" outlineLevel="0" collapsed="false">
      <c r="A28" s="4" t="s">
        <v>2135</v>
      </c>
      <c r="B28" s="4" t="n">
        <v>1892</v>
      </c>
      <c r="C28" s="4" t="s">
        <v>2129</v>
      </c>
      <c r="D28" s="4" t="s">
        <v>2066</v>
      </c>
      <c r="E28" s="4" t="s">
        <v>2136</v>
      </c>
      <c r="F28" s="4" t="s">
        <v>2137</v>
      </c>
      <c r="G28" s="4" t="s">
        <v>2138</v>
      </c>
      <c r="H28" s="4" t="s">
        <v>2139</v>
      </c>
    </row>
    <row r="29" customFormat="false" ht="35.05" hidden="false" customHeight="false" outlineLevel="0" collapsed="false">
      <c r="A29" s="4" t="s">
        <v>1776</v>
      </c>
      <c r="B29" s="4" t="n">
        <v>1894</v>
      </c>
      <c r="C29" s="4" t="s">
        <v>2129</v>
      </c>
      <c r="D29" s="4" t="s">
        <v>2140</v>
      </c>
      <c r="E29" s="4" t="s">
        <v>2141</v>
      </c>
      <c r="F29" s="4" t="s">
        <v>2063</v>
      </c>
      <c r="G29" s="4" t="s">
        <v>2138</v>
      </c>
      <c r="H29" s="4"/>
    </row>
    <row r="30" customFormat="false" ht="46.25" hidden="false" customHeight="false" outlineLevel="0" collapsed="false">
      <c r="A30" s="4" t="s">
        <v>1858</v>
      </c>
      <c r="B30" s="4" t="n">
        <v>1898</v>
      </c>
      <c r="C30" s="4" t="s">
        <v>2142</v>
      </c>
      <c r="D30" s="4" t="s">
        <v>2143</v>
      </c>
      <c r="E30" s="4" t="s">
        <v>2144</v>
      </c>
      <c r="F30" s="4" t="s">
        <v>2063</v>
      </c>
      <c r="G30" s="4" t="s">
        <v>2145</v>
      </c>
      <c r="H30" s="4"/>
    </row>
    <row r="31" customFormat="false" ht="35.05" hidden="false" customHeight="false" outlineLevel="0" collapsed="false">
      <c r="A31" s="4" t="s">
        <v>2146</v>
      </c>
      <c r="B31" s="4" t="n">
        <v>1903</v>
      </c>
      <c r="C31" s="4" t="s">
        <v>2147</v>
      </c>
      <c r="D31" s="4" t="s">
        <v>2148</v>
      </c>
      <c r="E31" s="4" t="s">
        <v>2149</v>
      </c>
      <c r="F31" s="4" t="s">
        <v>2063</v>
      </c>
      <c r="G31" s="4" t="s">
        <v>2150</v>
      </c>
      <c r="H31" s="4"/>
    </row>
    <row r="32" customFormat="false" ht="23.85" hidden="false" customHeight="false" outlineLevel="0" collapsed="false">
      <c r="A32" s="4" t="s">
        <v>1718</v>
      </c>
      <c r="B32" s="4" t="n">
        <v>1888</v>
      </c>
      <c r="C32" s="4" t="s">
        <v>2151</v>
      </c>
      <c r="D32" s="4" t="s">
        <v>2061</v>
      </c>
      <c r="E32" s="4" t="s">
        <v>2152</v>
      </c>
      <c r="F32" s="4" t="s">
        <v>2063</v>
      </c>
      <c r="G32" s="4" t="s">
        <v>423</v>
      </c>
      <c r="H32" s="4"/>
    </row>
    <row r="33" customFormat="false" ht="15" hidden="false" customHeight="false" outlineLevel="0" collapsed="false">
      <c r="A33" s="4" t="s">
        <v>2153</v>
      </c>
      <c r="B33" s="4" t="n">
        <v>1890</v>
      </c>
      <c r="C33" s="4" t="s">
        <v>2151</v>
      </c>
      <c r="D33" s="4" t="s">
        <v>2066</v>
      </c>
      <c r="E33" s="4" t="s">
        <v>2154</v>
      </c>
      <c r="F33" s="4" t="s">
        <v>2063</v>
      </c>
      <c r="G33" s="4" t="s">
        <v>423</v>
      </c>
      <c r="H33" s="4"/>
    </row>
    <row r="34" customFormat="false" ht="15" hidden="false" customHeight="false" outlineLevel="0" collapsed="false">
      <c r="A34" s="4" t="s">
        <v>1703</v>
      </c>
      <c r="B34" s="4" t="n">
        <v>1888</v>
      </c>
      <c r="C34" s="4" t="s">
        <v>2155</v>
      </c>
      <c r="D34" s="4" t="s">
        <v>2061</v>
      </c>
      <c r="E34" s="4" t="s">
        <v>2156</v>
      </c>
      <c r="F34" s="4" t="s">
        <v>2063</v>
      </c>
      <c r="G34" s="4" t="s">
        <v>183</v>
      </c>
      <c r="H34" s="4"/>
    </row>
    <row r="35" customFormat="false" ht="35.05" hidden="false" customHeight="false" outlineLevel="0" collapsed="false">
      <c r="A35" s="4" t="s">
        <v>2157</v>
      </c>
      <c r="B35" s="4" t="n">
        <v>1892</v>
      </c>
      <c r="C35" s="4" t="s">
        <v>2155</v>
      </c>
      <c r="D35" s="4" t="s">
        <v>2066</v>
      </c>
      <c r="E35" s="4" t="s">
        <v>2158</v>
      </c>
      <c r="F35" s="4" t="s">
        <v>2063</v>
      </c>
      <c r="G35" s="4" t="s">
        <v>2159</v>
      </c>
      <c r="H35" s="4"/>
    </row>
    <row r="36" customFormat="false" ht="35.05" hidden="false" customHeight="false" outlineLevel="0" collapsed="false">
      <c r="A36" s="4" t="s">
        <v>1774</v>
      </c>
      <c r="B36" s="4" t="n">
        <v>1893</v>
      </c>
      <c r="C36" s="4" t="s">
        <v>2155</v>
      </c>
      <c r="D36" s="4" t="s">
        <v>2160</v>
      </c>
      <c r="E36" s="4" t="s">
        <v>2161</v>
      </c>
      <c r="F36" s="4" t="s">
        <v>2162</v>
      </c>
      <c r="G36" s="4" t="s">
        <v>470</v>
      </c>
      <c r="H36" s="4"/>
    </row>
    <row r="37" customFormat="false" ht="23.85" hidden="false" customHeight="false" outlineLevel="0" collapsed="false">
      <c r="A37" s="4" t="s">
        <v>2163</v>
      </c>
      <c r="B37" s="4" t="n">
        <v>1894</v>
      </c>
      <c r="C37" s="4" t="s">
        <v>2155</v>
      </c>
      <c r="D37" s="4" t="s">
        <v>2164</v>
      </c>
      <c r="E37" s="4" t="s">
        <v>2165</v>
      </c>
      <c r="F37" s="4" t="s">
        <v>2166</v>
      </c>
      <c r="G37" s="4" t="s">
        <v>470</v>
      </c>
      <c r="H37" s="4" t="s">
        <v>2167</v>
      </c>
    </row>
    <row r="38" customFormat="false" ht="23.85" hidden="false" customHeight="false" outlineLevel="0" collapsed="false">
      <c r="A38" s="4" t="s">
        <v>1806</v>
      </c>
      <c r="B38" s="4" t="n">
        <v>1896</v>
      </c>
      <c r="C38" s="4" t="s">
        <v>2168</v>
      </c>
      <c r="D38" s="4" t="s">
        <v>2140</v>
      </c>
      <c r="E38" s="4" t="s">
        <v>2169</v>
      </c>
      <c r="F38" s="4" t="s">
        <v>2068</v>
      </c>
      <c r="G38" s="4" t="s">
        <v>268</v>
      </c>
      <c r="H38" s="4"/>
    </row>
    <row r="39" customFormat="false" ht="23.85" hidden="false" customHeight="false" outlineLevel="0" collapsed="false">
      <c r="A39" s="4" t="s">
        <v>2170</v>
      </c>
      <c r="B39" s="4" t="n">
        <v>1897</v>
      </c>
      <c r="C39" s="4" t="s">
        <v>2168</v>
      </c>
      <c r="D39" s="4" t="s">
        <v>2066</v>
      </c>
      <c r="E39" s="4" t="s">
        <v>2171</v>
      </c>
      <c r="F39" s="4" t="s">
        <v>2063</v>
      </c>
      <c r="G39" s="4" t="s">
        <v>268</v>
      </c>
      <c r="H39" s="4"/>
    </row>
    <row r="40" customFormat="false" ht="35.05" hidden="false" customHeight="false" outlineLevel="0" collapsed="false">
      <c r="A40" s="4" t="s">
        <v>1733</v>
      </c>
      <c r="B40" s="4" t="n">
        <v>1890</v>
      </c>
      <c r="C40" s="4" t="s">
        <v>2172</v>
      </c>
      <c r="D40" s="4" t="s">
        <v>2173</v>
      </c>
      <c r="E40" s="4" t="s">
        <v>2174</v>
      </c>
      <c r="F40" s="4" t="s">
        <v>2063</v>
      </c>
      <c r="G40" s="4" t="s">
        <v>2175</v>
      </c>
      <c r="H40" s="4"/>
    </row>
    <row r="41" customFormat="false" ht="15" hidden="false" customHeight="false" outlineLevel="0" collapsed="false">
      <c r="A41" s="4" t="s">
        <v>2176</v>
      </c>
      <c r="B41" s="4" t="n">
        <v>1891</v>
      </c>
      <c r="C41" s="4" t="s">
        <v>2172</v>
      </c>
      <c r="D41" s="4" t="s">
        <v>2066</v>
      </c>
      <c r="E41" s="4" t="s">
        <v>2177</v>
      </c>
      <c r="F41" s="4" t="s">
        <v>2063</v>
      </c>
      <c r="G41" s="4" t="s">
        <v>365</v>
      </c>
      <c r="H41" s="4"/>
    </row>
    <row r="42" customFormat="false" ht="23.85" hidden="false" customHeight="false" outlineLevel="0" collapsed="false">
      <c r="A42" s="4" t="s">
        <v>2178</v>
      </c>
      <c r="B42" s="4" t="n">
        <v>1892</v>
      </c>
      <c r="C42" s="4" t="s">
        <v>2172</v>
      </c>
      <c r="D42" s="4" t="s">
        <v>2101</v>
      </c>
      <c r="E42" s="4" t="s">
        <v>2179</v>
      </c>
      <c r="F42" s="4" t="s">
        <v>2068</v>
      </c>
      <c r="G42" s="4" t="s">
        <v>376</v>
      </c>
      <c r="H42" s="4"/>
    </row>
    <row r="43" customFormat="false" ht="23.85" hidden="false" customHeight="false" outlineLevel="0" collapsed="false">
      <c r="A43" s="4" t="s">
        <v>1877</v>
      </c>
      <c r="B43" s="4" t="n">
        <v>1900</v>
      </c>
      <c r="C43" s="4" t="s">
        <v>400</v>
      </c>
      <c r="D43" s="4" t="s">
        <v>2101</v>
      </c>
      <c r="E43" s="4" t="s">
        <v>2180</v>
      </c>
      <c r="F43" s="4" t="s">
        <v>2181</v>
      </c>
      <c r="G43" s="4" t="s">
        <v>51</v>
      </c>
      <c r="H43" s="4"/>
    </row>
    <row r="44" customFormat="false" ht="35.05" hidden="false" customHeight="false" outlineLevel="0" collapsed="false">
      <c r="A44" s="4" t="s">
        <v>1661</v>
      </c>
      <c r="B44" s="4" t="n">
        <v>1870</v>
      </c>
      <c r="C44" s="4" t="s">
        <v>2182</v>
      </c>
      <c r="D44" s="4" t="s">
        <v>2061</v>
      </c>
      <c r="E44" s="4" t="s">
        <v>2183</v>
      </c>
      <c r="F44" s="4" t="s">
        <v>2063</v>
      </c>
      <c r="G44" s="4" t="s">
        <v>89</v>
      </c>
      <c r="H44" s="4" t="s">
        <v>2184</v>
      </c>
    </row>
    <row r="45" customFormat="false" ht="23.85" hidden="false" customHeight="false" outlineLevel="0" collapsed="false">
      <c r="A45" s="4" t="s">
        <v>60</v>
      </c>
      <c r="B45" s="4" t="n">
        <v>1898</v>
      </c>
      <c r="C45" s="4" t="s">
        <v>2182</v>
      </c>
      <c r="D45" s="4" t="s">
        <v>2185</v>
      </c>
      <c r="E45" s="4" t="s">
        <v>2186</v>
      </c>
      <c r="F45" s="4" t="s">
        <v>2068</v>
      </c>
      <c r="G45" s="4" t="s">
        <v>2187</v>
      </c>
      <c r="H45" s="4" t="s">
        <v>2188</v>
      </c>
    </row>
    <row r="46" customFormat="false" ht="23.85" hidden="false" customHeight="false" outlineLevel="0" collapsed="false">
      <c r="A46" s="4" t="s">
        <v>1864</v>
      </c>
      <c r="B46" s="4" t="n">
        <v>1898</v>
      </c>
      <c r="C46" s="4" t="s">
        <v>2189</v>
      </c>
      <c r="D46" s="4" t="s">
        <v>2061</v>
      </c>
      <c r="E46" s="4" t="s">
        <v>2190</v>
      </c>
      <c r="F46" s="4" t="s">
        <v>2068</v>
      </c>
      <c r="G46" s="4" t="s">
        <v>567</v>
      </c>
      <c r="H46" s="4"/>
    </row>
    <row r="47" customFormat="false" ht="23.85" hidden="false" customHeight="false" outlineLevel="0" collapsed="false">
      <c r="A47" s="4" t="s">
        <v>1895</v>
      </c>
      <c r="B47" s="4" t="n">
        <v>1902</v>
      </c>
      <c r="C47" s="4" t="s">
        <v>2189</v>
      </c>
      <c r="D47" s="4" t="s">
        <v>2066</v>
      </c>
      <c r="E47" s="4" t="s">
        <v>2191</v>
      </c>
      <c r="F47" s="4" t="s">
        <v>2063</v>
      </c>
      <c r="G47" s="4" t="s">
        <v>567</v>
      </c>
      <c r="H47" s="4"/>
    </row>
    <row r="48" customFormat="false" ht="23.85" hidden="false" customHeight="false" outlineLevel="0" collapsed="false">
      <c r="A48" s="4" t="s">
        <v>1756</v>
      </c>
      <c r="B48" s="4" t="n">
        <v>1892</v>
      </c>
      <c r="C48" s="4" t="s">
        <v>2192</v>
      </c>
      <c r="D48" s="4" t="s">
        <v>2061</v>
      </c>
      <c r="E48" s="4" t="s">
        <v>2193</v>
      </c>
      <c r="F48" s="4" t="s">
        <v>2063</v>
      </c>
      <c r="G48" s="4" t="s">
        <v>341</v>
      </c>
      <c r="H48" s="4"/>
    </row>
    <row r="49" customFormat="false" ht="23.85" hidden="false" customHeight="false" outlineLevel="0" collapsed="false">
      <c r="A49" s="4" t="s">
        <v>1792</v>
      </c>
      <c r="B49" s="4" t="n">
        <v>1895</v>
      </c>
      <c r="C49" s="4" t="s">
        <v>2192</v>
      </c>
      <c r="D49" s="4" t="s">
        <v>2066</v>
      </c>
      <c r="E49" s="4" t="s">
        <v>2194</v>
      </c>
      <c r="F49" s="4" t="s">
        <v>2063</v>
      </c>
      <c r="G49" s="4" t="s">
        <v>341</v>
      </c>
      <c r="H49" s="4"/>
    </row>
    <row r="50" customFormat="false" ht="23.85" hidden="false" customHeight="false" outlineLevel="0" collapsed="false">
      <c r="A50" s="4" t="s">
        <v>1776</v>
      </c>
      <c r="B50" s="4" t="n">
        <v>1894</v>
      </c>
      <c r="C50" s="4" t="s">
        <v>2195</v>
      </c>
      <c r="D50" s="4" t="s">
        <v>2196</v>
      </c>
      <c r="E50" s="4" t="s">
        <v>2197</v>
      </c>
      <c r="F50" s="4" t="s">
        <v>2068</v>
      </c>
      <c r="G50" s="4" t="s">
        <v>629</v>
      </c>
      <c r="H50" s="4"/>
    </row>
    <row r="51" customFormat="false" ht="23.85" hidden="false" customHeight="false" outlineLevel="0" collapsed="false">
      <c r="A51" s="4" t="s">
        <v>1776</v>
      </c>
      <c r="B51" s="4" t="n">
        <v>1894</v>
      </c>
      <c r="C51" s="4" t="s">
        <v>2198</v>
      </c>
      <c r="D51" s="4" t="s">
        <v>2140</v>
      </c>
      <c r="E51" s="4" t="s">
        <v>2199</v>
      </c>
      <c r="F51" s="4" t="s">
        <v>2063</v>
      </c>
      <c r="G51" s="4" t="s">
        <v>451</v>
      </c>
      <c r="H51" s="4"/>
    </row>
    <row r="52" customFormat="false" ht="23.85" hidden="false" customHeight="false" outlineLevel="0" collapsed="false">
      <c r="A52" s="4" t="s">
        <v>2200</v>
      </c>
      <c r="B52" s="4" t="n">
        <v>1896</v>
      </c>
      <c r="C52" s="4" t="s">
        <v>2198</v>
      </c>
      <c r="D52" s="4" t="s">
        <v>2066</v>
      </c>
      <c r="E52" s="4" t="s">
        <v>2201</v>
      </c>
      <c r="F52" s="4" t="s">
        <v>2068</v>
      </c>
      <c r="G52" s="4" t="s">
        <v>451</v>
      </c>
      <c r="H5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80"/>
    <col collapsed="false" customWidth="true" hidden="false" outlineLevel="0" max="4" min="4" style="0" width="40"/>
    <col collapsed="false" customWidth="true" hidden="false" outlineLevel="0" max="5" min="5" style="0" width="30"/>
  </cols>
  <sheetData>
    <row r="1" customFormat="false" ht="15" hidden="false" customHeight="false" outlineLevel="0" collapsed="false">
      <c r="A1" s="11" t="s">
        <v>2202</v>
      </c>
      <c r="B1" s="11" t="s">
        <v>2203</v>
      </c>
      <c r="C1" s="11" t="s">
        <v>2204</v>
      </c>
      <c r="D1" s="11" t="s">
        <v>42</v>
      </c>
      <c r="E1" s="11" t="s">
        <v>46</v>
      </c>
    </row>
    <row r="2" customFormat="false" ht="23.85" hidden="false" customHeight="false" outlineLevel="0" collapsed="false">
      <c r="A2" s="4" t="s">
        <v>227</v>
      </c>
      <c r="B2" s="4" t="s">
        <v>2205</v>
      </c>
      <c r="C2" s="4" t="s">
        <v>2206</v>
      </c>
      <c r="D2" s="4" t="s">
        <v>2207</v>
      </c>
      <c r="E2" s="4" t="s">
        <v>2208</v>
      </c>
    </row>
    <row r="3" customFormat="false" ht="23.85" hidden="false" customHeight="false" outlineLevel="0" collapsed="false">
      <c r="A3" s="4" t="s">
        <v>2209</v>
      </c>
      <c r="B3" s="4" t="s">
        <v>2210</v>
      </c>
      <c r="C3" s="4" t="s">
        <v>2211</v>
      </c>
      <c r="D3" s="4" t="s">
        <v>219</v>
      </c>
      <c r="E3" s="4" t="s">
        <v>2212</v>
      </c>
    </row>
    <row r="4" customFormat="false" ht="23.85" hidden="false" customHeight="false" outlineLevel="0" collapsed="false">
      <c r="A4" s="4" t="s">
        <v>513</v>
      </c>
      <c r="B4" s="4" t="s">
        <v>2213</v>
      </c>
      <c r="C4" s="4" t="s">
        <v>2214</v>
      </c>
      <c r="D4" s="4" t="s">
        <v>2215</v>
      </c>
      <c r="E4" s="4" t="s">
        <v>2216</v>
      </c>
    </row>
    <row r="5" customFormat="false" ht="15" hidden="false" customHeight="false" outlineLevel="0" collapsed="false">
      <c r="A5" s="4" t="s">
        <v>2217</v>
      </c>
      <c r="B5" s="4" t="s">
        <v>2218</v>
      </c>
      <c r="C5" s="4" t="s">
        <v>2219</v>
      </c>
      <c r="D5" s="4" t="s">
        <v>337</v>
      </c>
      <c r="E5" s="4" t="s">
        <v>2220</v>
      </c>
    </row>
    <row r="6" customFormat="false" ht="15" hidden="false" customHeight="false" outlineLevel="0" collapsed="false">
      <c r="A6" s="4" t="s">
        <v>504</v>
      </c>
      <c r="B6" s="4" t="s">
        <v>2221</v>
      </c>
      <c r="C6" s="4" t="s">
        <v>2222</v>
      </c>
      <c r="D6" s="4" t="s">
        <v>75</v>
      </c>
      <c r="E6" s="4" t="s">
        <v>2208</v>
      </c>
    </row>
    <row r="7" customFormat="false" ht="23.85" hidden="false" customHeight="false" outlineLevel="0" collapsed="false">
      <c r="A7" s="4" t="s">
        <v>2223</v>
      </c>
      <c r="B7" s="4" t="s">
        <v>2224</v>
      </c>
      <c r="C7" s="4" t="s">
        <v>2225</v>
      </c>
      <c r="D7" s="4" t="s">
        <v>2226</v>
      </c>
      <c r="E7" s="4" t="s">
        <v>2227</v>
      </c>
    </row>
    <row r="8" customFormat="false" ht="23.85" hidden="false" customHeight="false" outlineLevel="0" collapsed="false">
      <c r="A8" s="4" t="s">
        <v>2228</v>
      </c>
      <c r="B8" s="4" t="s">
        <v>2229</v>
      </c>
      <c r="C8" s="4" t="s">
        <v>2230</v>
      </c>
      <c r="D8" s="4" t="s">
        <v>111</v>
      </c>
      <c r="E8" s="4" t="s">
        <v>2227</v>
      </c>
    </row>
    <row r="9" customFormat="false" ht="15" hidden="false" customHeight="false" outlineLevel="0" collapsed="false">
      <c r="A9" s="4" t="s">
        <v>2231</v>
      </c>
      <c r="B9" s="4" t="s">
        <v>2232</v>
      </c>
      <c r="C9" s="4" t="s">
        <v>2233</v>
      </c>
      <c r="D9" s="4" t="s">
        <v>2234</v>
      </c>
      <c r="E9" s="4" t="s">
        <v>2220</v>
      </c>
    </row>
    <row r="10" customFormat="false" ht="15" hidden="false" customHeight="false" outlineLevel="0" collapsed="false">
      <c r="A10" s="4" t="s">
        <v>624</v>
      </c>
      <c r="B10" s="4" t="s">
        <v>2235</v>
      </c>
      <c r="C10" s="4" t="s">
        <v>2236</v>
      </c>
      <c r="D10" s="4" t="s">
        <v>157</v>
      </c>
      <c r="E10" s="4" t="s">
        <v>2237</v>
      </c>
    </row>
    <row r="11" customFormat="false" ht="23.85" hidden="false" customHeight="false" outlineLevel="0" collapsed="false">
      <c r="A11" s="4" t="s">
        <v>618</v>
      </c>
      <c r="B11" s="4" t="s">
        <v>2238</v>
      </c>
      <c r="C11" s="4" t="s">
        <v>2239</v>
      </c>
      <c r="D11" s="4" t="s">
        <v>2240</v>
      </c>
      <c r="E11" s="4" t="s">
        <v>2237</v>
      </c>
    </row>
    <row r="12" customFormat="false" ht="15" hidden="false" customHeight="false" outlineLevel="0" collapsed="false">
      <c r="A12" s="4" t="s">
        <v>2241</v>
      </c>
      <c r="B12" s="4" t="s">
        <v>2242</v>
      </c>
      <c r="C12" s="4" t="s">
        <v>2243</v>
      </c>
      <c r="D12" s="4" t="s">
        <v>157</v>
      </c>
      <c r="E12" s="4" t="s">
        <v>2216</v>
      </c>
    </row>
    <row r="13" customFormat="false" ht="15" hidden="false" customHeight="false" outlineLevel="0" collapsed="false">
      <c r="A13" s="4" t="s">
        <v>2244</v>
      </c>
      <c r="B13" s="4" t="s">
        <v>2245</v>
      </c>
      <c r="C13" s="4" t="s">
        <v>2246</v>
      </c>
      <c r="D13" s="4" t="s">
        <v>111</v>
      </c>
      <c r="E13" s="4" t="s">
        <v>2212</v>
      </c>
    </row>
    <row r="14" customFormat="false" ht="15" hidden="false" customHeight="false" outlineLevel="0" collapsed="false">
      <c r="A14" s="4" t="s">
        <v>2247</v>
      </c>
      <c r="B14" s="4" t="s">
        <v>2248</v>
      </c>
      <c r="C14" s="4" t="s">
        <v>2249</v>
      </c>
      <c r="D14" s="4" t="s">
        <v>337</v>
      </c>
      <c r="E14" s="4" t="s">
        <v>2220</v>
      </c>
    </row>
    <row r="15" customFormat="false" ht="23.85" hidden="false" customHeight="false" outlineLevel="0" collapsed="false">
      <c r="A15" s="4" t="s">
        <v>2250</v>
      </c>
      <c r="B15" s="4" t="s">
        <v>2251</v>
      </c>
      <c r="C15" s="4" t="s">
        <v>2252</v>
      </c>
      <c r="D15" s="4" t="s">
        <v>75</v>
      </c>
      <c r="E15" s="4" t="s">
        <v>2227</v>
      </c>
    </row>
    <row r="16" customFormat="false" ht="15" hidden="false" customHeight="false" outlineLevel="0" collapsed="false">
      <c r="A16" s="4" t="s">
        <v>2253</v>
      </c>
      <c r="B16" s="4" t="s">
        <v>2254</v>
      </c>
      <c r="C16" s="4" t="s">
        <v>2255</v>
      </c>
      <c r="D16" s="4" t="s">
        <v>75</v>
      </c>
      <c r="E16" s="4" t="s">
        <v>2256</v>
      </c>
    </row>
    <row r="17" customFormat="false" ht="23.85" hidden="false" customHeight="false" outlineLevel="0" collapsed="false">
      <c r="A17" s="4" t="s">
        <v>206</v>
      </c>
      <c r="B17" s="4" t="s">
        <v>2257</v>
      </c>
      <c r="C17" s="4" t="s">
        <v>2258</v>
      </c>
      <c r="D17" s="4" t="s">
        <v>75</v>
      </c>
      <c r="E17" s="4" t="s">
        <v>2212</v>
      </c>
    </row>
    <row r="18" customFormat="false" ht="15" hidden="false" customHeight="false" outlineLevel="0" collapsed="false">
      <c r="A18" s="4" t="s">
        <v>2259</v>
      </c>
      <c r="B18" s="4" t="s">
        <v>2260</v>
      </c>
      <c r="C18" s="4" t="s">
        <v>2261</v>
      </c>
      <c r="D18" s="4" t="s">
        <v>337</v>
      </c>
      <c r="E18" s="4" t="s">
        <v>2220</v>
      </c>
    </row>
    <row r="19" customFormat="false" ht="15" hidden="false" customHeight="false" outlineLevel="0" collapsed="false">
      <c r="A19" s="4" t="s">
        <v>2262</v>
      </c>
      <c r="B19" s="4" t="s">
        <v>2263</v>
      </c>
      <c r="C19" s="4" t="s">
        <v>2261</v>
      </c>
      <c r="D19" s="4" t="s">
        <v>337</v>
      </c>
      <c r="E19" s="4" t="s">
        <v>2220</v>
      </c>
    </row>
    <row r="20" customFormat="false" ht="23.85" hidden="false" customHeight="false" outlineLevel="0" collapsed="false">
      <c r="A20" s="4" t="s">
        <v>326</v>
      </c>
      <c r="B20" s="4" t="s">
        <v>2264</v>
      </c>
      <c r="C20" s="4" t="s">
        <v>2265</v>
      </c>
      <c r="D20" s="4" t="s">
        <v>2030</v>
      </c>
      <c r="E20" s="4" t="s">
        <v>2208</v>
      </c>
    </row>
    <row r="21" customFormat="false" ht="23.85" hidden="false" customHeight="false" outlineLevel="0" collapsed="false">
      <c r="A21" s="4" t="s">
        <v>2266</v>
      </c>
      <c r="B21" s="4" t="s">
        <v>2267</v>
      </c>
      <c r="C21" s="4" t="s">
        <v>2268</v>
      </c>
      <c r="D21" s="4" t="s">
        <v>2030</v>
      </c>
      <c r="E21" s="4" t="s">
        <v>2269</v>
      </c>
    </row>
    <row r="22" customFormat="false" ht="15" hidden="false" customHeight="false" outlineLevel="0" collapsed="false">
      <c r="A22" s="4" t="s">
        <v>2270</v>
      </c>
      <c r="B22" s="4" t="s">
        <v>2271</v>
      </c>
      <c r="C22" s="4" t="s">
        <v>2272</v>
      </c>
      <c r="D22" s="4" t="s">
        <v>2273</v>
      </c>
      <c r="E22" s="4" t="s">
        <v>402</v>
      </c>
    </row>
    <row r="23" customFormat="false" ht="23.85" hidden="false" customHeight="false" outlineLevel="0" collapsed="false">
      <c r="A23" s="4" t="s">
        <v>2274</v>
      </c>
      <c r="B23" s="4" t="s">
        <v>2275</v>
      </c>
      <c r="C23" s="4" t="s">
        <v>2276</v>
      </c>
      <c r="D23" s="4" t="s">
        <v>157</v>
      </c>
      <c r="E23" s="4" t="s">
        <v>2208</v>
      </c>
    </row>
    <row r="24" customFormat="false" ht="15" hidden="false" customHeight="false" outlineLevel="0" collapsed="false">
      <c r="A24" s="4" t="s">
        <v>2277</v>
      </c>
      <c r="B24" s="4" t="s">
        <v>2278</v>
      </c>
      <c r="C24" s="4" t="s">
        <v>2279</v>
      </c>
      <c r="D24" s="4" t="s">
        <v>157</v>
      </c>
      <c r="E24" s="4" t="s">
        <v>2280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26"/>
    <col collapsed="false" customWidth="true" hidden="false" outlineLevel="0" max="6" min="4" style="0" width="9"/>
    <col collapsed="false" customWidth="true" hidden="false" outlineLevel="0" max="7" min="7" style="0" width="14"/>
    <col collapsed="false" customWidth="true" hidden="false" outlineLevel="0" max="8" min="8" style="0" width="10"/>
    <col collapsed="false" customWidth="true" hidden="false" outlineLevel="0" max="9" min="9" style="0" width="14"/>
    <col collapsed="false" customWidth="true" hidden="false" outlineLevel="0" max="10" min="10" style="0" width="20"/>
  </cols>
  <sheetData>
    <row r="1" customFormat="false" ht="15" hidden="false" customHeight="false" outlineLevel="0" collapsed="false">
      <c r="A1" s="6" t="s">
        <v>2281</v>
      </c>
    </row>
    <row r="2" customFormat="false" ht="15" hidden="false" customHeight="false" outlineLevel="0" collapsed="false">
      <c r="A2" s="10" t="s">
        <v>2282</v>
      </c>
    </row>
    <row r="3" customFormat="false" ht="46.25" hidden="false" customHeight="false" outlineLevel="0" collapsed="false">
      <c r="A3" s="11" t="s">
        <v>2283</v>
      </c>
      <c r="B3" s="11" t="s">
        <v>2284</v>
      </c>
      <c r="C3" s="11" t="s">
        <v>2285</v>
      </c>
      <c r="D3" s="11" t="s">
        <v>2286</v>
      </c>
      <c r="E3" s="11" t="s">
        <v>2287</v>
      </c>
      <c r="F3" s="11" t="s">
        <v>2288</v>
      </c>
      <c r="G3" s="11" t="s">
        <v>2289</v>
      </c>
      <c r="H3" s="11" t="s">
        <v>2290</v>
      </c>
      <c r="I3" s="11" t="s">
        <v>2291</v>
      </c>
      <c r="J3" s="11" t="s">
        <v>2292</v>
      </c>
    </row>
    <row r="4" customFormat="false" ht="15" hidden="false" customHeight="false" outlineLevel="0" collapsed="false">
      <c r="A4" s="4" t="s">
        <v>2293</v>
      </c>
      <c r="B4" s="4" t="s">
        <v>2294</v>
      </c>
      <c r="C4" s="4" t="s">
        <v>2295</v>
      </c>
      <c r="D4" s="4"/>
      <c r="E4" s="4"/>
      <c r="F4" s="4" t="n">
        <v>1910</v>
      </c>
      <c r="G4" s="4" t="s">
        <v>2296</v>
      </c>
      <c r="H4" s="4" t="n">
        <v>1923</v>
      </c>
      <c r="I4" s="4" t="s">
        <v>96</v>
      </c>
      <c r="J4" s="4" t="s">
        <v>2294</v>
      </c>
    </row>
    <row r="5" customFormat="false" ht="23.85" hidden="false" customHeight="false" outlineLevel="0" collapsed="false">
      <c r="A5" s="4" t="s">
        <v>2297</v>
      </c>
      <c r="B5" s="4" t="s">
        <v>2298</v>
      </c>
      <c r="C5" s="4" t="s">
        <v>568</v>
      </c>
      <c r="D5" s="4"/>
      <c r="E5" s="4"/>
      <c r="F5" s="4" t="n">
        <v>1905</v>
      </c>
      <c r="G5" s="4" t="s">
        <v>2299</v>
      </c>
      <c r="H5" s="4" t="n">
        <v>1923</v>
      </c>
      <c r="I5" s="4" t="s">
        <v>96</v>
      </c>
      <c r="J5" s="4" t="s">
        <v>2300</v>
      </c>
    </row>
    <row r="6" customFormat="false" ht="15" hidden="false" customHeight="false" outlineLevel="0" collapsed="false">
      <c r="A6" s="4" t="s">
        <v>2301</v>
      </c>
      <c r="B6" s="4" t="s">
        <v>2302</v>
      </c>
      <c r="C6" s="4" t="s">
        <v>2295</v>
      </c>
      <c r="D6" s="4"/>
      <c r="E6" s="4"/>
      <c r="F6" s="4" t="n">
        <v>1895</v>
      </c>
      <c r="G6" s="4" t="s">
        <v>2303</v>
      </c>
      <c r="H6" s="4" t="n">
        <v>1924</v>
      </c>
      <c r="I6" s="4" t="s">
        <v>96</v>
      </c>
      <c r="J6" s="4" t="s">
        <v>2304</v>
      </c>
    </row>
    <row r="7" customFormat="false" ht="15" hidden="false" customHeight="false" outlineLevel="0" collapsed="false">
      <c r="A7" s="4" t="s">
        <v>2305</v>
      </c>
      <c r="B7" s="4" t="s">
        <v>2306</v>
      </c>
      <c r="C7" s="4" t="s">
        <v>2295</v>
      </c>
      <c r="D7" s="4"/>
      <c r="E7" s="4"/>
      <c r="F7" s="4" t="n">
        <v>1908</v>
      </c>
      <c r="G7" s="4" t="s">
        <v>2307</v>
      </c>
      <c r="H7" s="4" t="n">
        <v>1925</v>
      </c>
      <c r="I7" s="4" t="s">
        <v>96</v>
      </c>
      <c r="J7" s="4" t="s">
        <v>2308</v>
      </c>
    </row>
    <row r="8" customFormat="false" ht="15" hidden="false" customHeight="false" outlineLevel="0" collapsed="false">
      <c r="A8" s="4" t="s">
        <v>2309</v>
      </c>
      <c r="B8" s="4" t="s">
        <v>2310</v>
      </c>
      <c r="C8" s="4" t="s">
        <v>400</v>
      </c>
      <c r="D8" s="4"/>
      <c r="E8" s="4"/>
      <c r="F8" s="4" t="n">
        <v>1897</v>
      </c>
      <c r="G8" s="4" t="s">
        <v>545</v>
      </c>
      <c r="H8" s="4" t="n">
        <v>1927</v>
      </c>
      <c r="I8" s="4" t="s">
        <v>2311</v>
      </c>
      <c r="J8" s="4" t="s">
        <v>2312</v>
      </c>
    </row>
    <row r="9" customFormat="false" ht="15" hidden="false" customHeight="false" outlineLevel="0" collapsed="false">
      <c r="A9" s="4" t="s">
        <v>2313</v>
      </c>
      <c r="B9" s="4" t="s">
        <v>2314</v>
      </c>
      <c r="C9" s="4" t="s">
        <v>2295</v>
      </c>
      <c r="D9" s="4"/>
      <c r="E9" s="4"/>
      <c r="F9" s="4" t="n">
        <v>1896</v>
      </c>
      <c r="G9" s="4" t="s">
        <v>2315</v>
      </c>
      <c r="H9" s="4" t="n">
        <v>1935</v>
      </c>
      <c r="I9" s="4" t="s">
        <v>96</v>
      </c>
      <c r="J9" s="4" t="s">
        <v>2314</v>
      </c>
    </row>
    <row r="10" customFormat="false" ht="15" hidden="false" customHeight="false" outlineLevel="0" collapsed="false">
      <c r="A10" s="4" t="s">
        <v>2316</v>
      </c>
      <c r="B10" s="4" t="s">
        <v>2317</v>
      </c>
      <c r="C10" s="4" t="s">
        <v>400</v>
      </c>
      <c r="D10" s="4"/>
      <c r="E10" s="4"/>
      <c r="F10" s="4" t="n">
        <v>1892</v>
      </c>
      <c r="G10" s="4" t="s">
        <v>2318</v>
      </c>
      <c r="H10" s="4" t="n">
        <v>1935</v>
      </c>
      <c r="I10" s="4" t="s">
        <v>96</v>
      </c>
      <c r="J10" s="4" t="s">
        <v>2317</v>
      </c>
    </row>
    <row r="11" customFormat="false" ht="15" hidden="false" customHeight="false" outlineLevel="0" collapsed="false">
      <c r="A11" s="4" t="s">
        <v>2319</v>
      </c>
      <c r="B11" s="4" t="s">
        <v>2320</v>
      </c>
      <c r="C11" s="4" t="s">
        <v>400</v>
      </c>
      <c r="D11" s="4"/>
      <c r="E11" s="4"/>
      <c r="F11" s="4" t="n">
        <v>1895</v>
      </c>
      <c r="G11" s="4" t="s">
        <v>2318</v>
      </c>
      <c r="H11" s="4" t="n">
        <v>1935</v>
      </c>
      <c r="I11" s="4" t="s">
        <v>2311</v>
      </c>
      <c r="J11" s="4" t="s">
        <v>2321</v>
      </c>
    </row>
    <row r="12" customFormat="false" ht="15" hidden="false" customHeight="false" outlineLevel="0" collapsed="false">
      <c r="A12" s="4" t="s">
        <v>2322</v>
      </c>
      <c r="B12" s="4" t="s">
        <v>2323</v>
      </c>
      <c r="C12" s="4" t="s">
        <v>2295</v>
      </c>
      <c r="D12" s="4" t="n">
        <v>1875</v>
      </c>
      <c r="E12" s="4"/>
      <c r="F12" s="4" t="n">
        <v>1900</v>
      </c>
      <c r="G12" s="4" t="s">
        <v>2324</v>
      </c>
      <c r="H12" s="4" t="n">
        <v>1935</v>
      </c>
      <c r="I12" s="4" t="s">
        <v>96</v>
      </c>
      <c r="J12" s="4" t="s">
        <v>2323</v>
      </c>
    </row>
    <row r="13" customFormat="false" ht="15" hidden="false" customHeight="false" outlineLevel="0" collapsed="false">
      <c r="A13" s="4" t="s">
        <v>2325</v>
      </c>
      <c r="B13" s="4" t="s">
        <v>2323</v>
      </c>
      <c r="C13" s="4" t="s">
        <v>2295</v>
      </c>
      <c r="D13" s="4" t="n">
        <v>1873</v>
      </c>
      <c r="E13" s="4"/>
      <c r="F13" s="4" t="n">
        <v>1896</v>
      </c>
      <c r="G13" s="4" t="s">
        <v>2315</v>
      </c>
      <c r="H13" s="4" t="n">
        <v>1935</v>
      </c>
      <c r="I13" s="4" t="s">
        <v>96</v>
      </c>
      <c r="J13" s="4" t="s">
        <v>2323</v>
      </c>
    </row>
    <row r="14" customFormat="false" ht="15" hidden="false" customHeight="false" outlineLevel="0" collapsed="false">
      <c r="A14" s="4" t="s">
        <v>2326</v>
      </c>
      <c r="B14" s="4" t="s">
        <v>2327</v>
      </c>
      <c r="C14" s="4" t="s">
        <v>2295</v>
      </c>
      <c r="D14" s="4"/>
      <c r="E14" s="4"/>
      <c r="F14" s="4" t="n">
        <v>1890</v>
      </c>
      <c r="G14" s="4" t="s">
        <v>2328</v>
      </c>
      <c r="H14" s="4" t="n">
        <v>1935</v>
      </c>
      <c r="I14" s="4" t="s">
        <v>2311</v>
      </c>
      <c r="J14" s="4" t="s">
        <v>2329</v>
      </c>
    </row>
    <row r="15" customFormat="false" ht="15" hidden="false" customHeight="false" outlineLevel="0" collapsed="false">
      <c r="A15" s="4" t="s">
        <v>2330</v>
      </c>
      <c r="B15" s="4" t="s">
        <v>564</v>
      </c>
      <c r="C15" s="4" t="s">
        <v>400</v>
      </c>
      <c r="D15" s="4"/>
      <c r="E15" s="4"/>
      <c r="F15" s="4" t="n">
        <v>1910</v>
      </c>
      <c r="G15" s="4" t="s">
        <v>2331</v>
      </c>
      <c r="H15" s="4" t="n">
        <v>1936</v>
      </c>
      <c r="I15" s="4" t="s">
        <v>2332</v>
      </c>
      <c r="J15" s="4" t="s">
        <v>2333</v>
      </c>
    </row>
    <row r="16" customFormat="false" ht="15" hidden="false" customHeight="false" outlineLevel="0" collapsed="false">
      <c r="A16" s="4" t="s">
        <v>2334</v>
      </c>
      <c r="B16" s="4" t="s">
        <v>2335</v>
      </c>
      <c r="C16" s="4" t="s">
        <v>400</v>
      </c>
      <c r="D16" s="4"/>
      <c r="E16" s="4"/>
      <c r="F16" s="4" t="n">
        <v>1910</v>
      </c>
      <c r="G16" s="4" t="s">
        <v>2331</v>
      </c>
      <c r="H16" s="4" t="n">
        <v>1936</v>
      </c>
      <c r="I16" s="4" t="s">
        <v>2336</v>
      </c>
      <c r="J16" s="4" t="s">
        <v>2337</v>
      </c>
    </row>
    <row r="17" customFormat="false" ht="15" hidden="false" customHeight="false" outlineLevel="0" collapsed="false">
      <c r="A17" s="4" t="s">
        <v>2338</v>
      </c>
      <c r="B17" s="4" t="s">
        <v>2335</v>
      </c>
      <c r="C17" s="4" t="s">
        <v>400</v>
      </c>
      <c r="D17" s="4"/>
      <c r="E17" s="4"/>
      <c r="F17" s="4" t="n">
        <v>1910</v>
      </c>
      <c r="G17" s="4" t="s">
        <v>2331</v>
      </c>
      <c r="H17" s="4" t="n">
        <v>1936</v>
      </c>
      <c r="I17" s="4" t="s">
        <v>2332</v>
      </c>
      <c r="J17" s="4" t="s">
        <v>2339</v>
      </c>
    </row>
    <row r="18" customFormat="false" ht="15" hidden="false" customHeight="false" outlineLevel="0" collapsed="false">
      <c r="A18" s="4" t="s">
        <v>2340</v>
      </c>
      <c r="B18" s="4" t="s">
        <v>227</v>
      </c>
      <c r="C18" s="4" t="s">
        <v>2295</v>
      </c>
      <c r="D18" s="4"/>
      <c r="E18" s="4"/>
      <c r="F18" s="4" t="n">
        <v>1898</v>
      </c>
      <c r="G18" s="4" t="s">
        <v>2341</v>
      </c>
      <c r="H18" s="4" t="n">
        <v>1949</v>
      </c>
      <c r="I18" s="4" t="s">
        <v>2342</v>
      </c>
      <c r="J18" s="4" t="s">
        <v>2343</v>
      </c>
    </row>
    <row r="19" customFormat="false" ht="15" hidden="false" customHeight="false" outlineLevel="0" collapsed="false">
      <c r="A19" s="4" t="s">
        <v>2344</v>
      </c>
      <c r="B19" s="4" t="s">
        <v>2345</v>
      </c>
      <c r="C19" s="4" t="s">
        <v>2295</v>
      </c>
      <c r="D19" s="4"/>
      <c r="E19" s="4"/>
      <c r="F19" s="4" t="n">
        <v>1898</v>
      </c>
      <c r="G19" s="4" t="s">
        <v>2341</v>
      </c>
      <c r="H19" s="4" t="n">
        <v>1949</v>
      </c>
      <c r="I19" s="4" t="s">
        <v>2345</v>
      </c>
      <c r="J19" s="4" t="s">
        <v>2346</v>
      </c>
    </row>
    <row r="20" customFormat="false" ht="15" hidden="false" customHeight="false" outlineLevel="0" collapsed="false">
      <c r="A20" s="4" t="s">
        <v>2347</v>
      </c>
      <c r="B20" s="4" t="s">
        <v>2270</v>
      </c>
      <c r="C20" s="4" t="s">
        <v>2295</v>
      </c>
      <c r="D20" s="4"/>
      <c r="E20" s="4"/>
      <c r="F20" s="4" t="n">
        <v>1902</v>
      </c>
      <c r="G20" s="4" t="s">
        <v>2348</v>
      </c>
      <c r="H20" s="4" t="n">
        <v>1949</v>
      </c>
      <c r="I20" s="4" t="s">
        <v>2336</v>
      </c>
      <c r="J20" s="4" t="s">
        <v>2349</v>
      </c>
    </row>
    <row r="21" customFormat="false" ht="15" hidden="false" customHeight="false" outlineLevel="0" collapsed="false">
      <c r="A21" s="4" t="s">
        <v>2350</v>
      </c>
      <c r="B21" s="4" t="s">
        <v>2209</v>
      </c>
      <c r="C21" s="4" t="s">
        <v>2295</v>
      </c>
      <c r="D21" s="4"/>
      <c r="E21" s="4"/>
      <c r="F21" s="4" t="n">
        <v>1898</v>
      </c>
      <c r="G21" s="4" t="s">
        <v>2341</v>
      </c>
      <c r="H21" s="4" t="n">
        <v>1949</v>
      </c>
      <c r="I21" s="4" t="s">
        <v>96</v>
      </c>
      <c r="J21" s="4" t="s">
        <v>2351</v>
      </c>
    </row>
    <row r="22" customFormat="false" ht="15" hidden="false" customHeight="false" outlineLevel="0" collapsed="false">
      <c r="A22" s="4" t="s">
        <v>2352</v>
      </c>
      <c r="B22" s="4" t="s">
        <v>2209</v>
      </c>
      <c r="C22" s="4" t="s">
        <v>2295</v>
      </c>
      <c r="D22" s="4"/>
      <c r="E22" s="4"/>
      <c r="F22" s="4" t="n">
        <v>1898</v>
      </c>
      <c r="G22" s="4" t="s">
        <v>2341</v>
      </c>
      <c r="H22" s="4" t="n">
        <v>1949</v>
      </c>
      <c r="I22" s="4" t="s">
        <v>96</v>
      </c>
      <c r="J22" s="4" t="s">
        <v>2353</v>
      </c>
    </row>
    <row r="23" customFormat="false" ht="15" hidden="false" customHeight="false" outlineLevel="0" collapsed="false">
      <c r="A23" s="4" t="s">
        <v>2354</v>
      </c>
      <c r="B23" s="4" t="s">
        <v>227</v>
      </c>
      <c r="C23" s="4" t="s">
        <v>2295</v>
      </c>
      <c r="D23" s="4" t="n">
        <v>1871</v>
      </c>
      <c r="E23" s="4" t="n">
        <v>1895</v>
      </c>
      <c r="F23" s="4" t="n">
        <v>1899</v>
      </c>
      <c r="G23" s="4" t="s">
        <v>2341</v>
      </c>
      <c r="H23" s="4" t="n">
        <v>1949</v>
      </c>
      <c r="I23" s="4" t="s">
        <v>2342</v>
      </c>
      <c r="J23" s="4" t="s">
        <v>2343</v>
      </c>
    </row>
    <row r="24" customFormat="false" ht="15" hidden="false" customHeight="false" outlineLevel="0" collapsed="false">
      <c r="A24" s="4" t="s">
        <v>2355</v>
      </c>
      <c r="B24" s="4" t="s">
        <v>227</v>
      </c>
      <c r="C24" s="4" t="s">
        <v>2295</v>
      </c>
      <c r="D24" s="4"/>
      <c r="E24" s="4"/>
      <c r="F24" s="4" t="n">
        <v>1898</v>
      </c>
      <c r="G24" s="4" t="s">
        <v>2341</v>
      </c>
      <c r="H24" s="4" t="n">
        <v>1949</v>
      </c>
      <c r="I24" s="4" t="s">
        <v>2356</v>
      </c>
      <c r="J24" s="4" t="s">
        <v>2343</v>
      </c>
    </row>
    <row r="25" customFormat="false" ht="15" hidden="false" customHeight="false" outlineLevel="0" collapsed="false">
      <c r="A25" s="4" t="s">
        <v>2357</v>
      </c>
      <c r="B25" s="4" t="s">
        <v>2209</v>
      </c>
      <c r="C25" s="4" t="s">
        <v>2295</v>
      </c>
      <c r="D25" s="4"/>
      <c r="E25" s="4"/>
      <c r="F25" s="4" t="n">
        <v>1898</v>
      </c>
      <c r="G25" s="4" t="s">
        <v>2341</v>
      </c>
      <c r="H25" s="4" t="n">
        <v>1949</v>
      </c>
      <c r="I25" s="4" t="s">
        <v>2345</v>
      </c>
      <c r="J25" s="4" t="s">
        <v>2358</v>
      </c>
    </row>
    <row r="26" customFormat="false" ht="15" hidden="false" customHeight="false" outlineLevel="0" collapsed="false">
      <c r="A26" s="4" t="s">
        <v>2359</v>
      </c>
      <c r="B26" s="4" t="s">
        <v>227</v>
      </c>
      <c r="C26" s="4" t="s">
        <v>400</v>
      </c>
      <c r="D26" s="4"/>
      <c r="E26" s="4"/>
      <c r="F26" s="4" t="n">
        <v>1923</v>
      </c>
      <c r="G26" s="4" t="s">
        <v>2360</v>
      </c>
      <c r="H26" s="4" t="n">
        <v>1956</v>
      </c>
      <c r="I26" s="4" t="s">
        <v>96</v>
      </c>
      <c r="J26" s="4" t="s">
        <v>2361</v>
      </c>
    </row>
    <row r="27" customFormat="false" ht="15" hidden="false" customHeight="false" outlineLevel="0" collapsed="false">
      <c r="A27" s="4" t="s">
        <v>2362</v>
      </c>
      <c r="B27" s="4" t="s">
        <v>227</v>
      </c>
      <c r="C27" s="4" t="s">
        <v>400</v>
      </c>
      <c r="D27" s="4"/>
      <c r="E27" s="4"/>
      <c r="F27" s="4" t="n">
        <v>1923</v>
      </c>
      <c r="G27" s="4" t="s">
        <v>2360</v>
      </c>
      <c r="H27" s="4" t="n">
        <v>1956</v>
      </c>
      <c r="I27" s="4" t="s">
        <v>2361</v>
      </c>
      <c r="J27" s="4" t="s">
        <v>2343</v>
      </c>
    </row>
    <row r="28" customFormat="false" ht="15" hidden="false" customHeight="false" outlineLevel="0" collapsed="false">
      <c r="A28" s="4" t="s">
        <v>2363</v>
      </c>
      <c r="B28" s="4" t="s">
        <v>2266</v>
      </c>
      <c r="C28" s="4" t="s">
        <v>2295</v>
      </c>
      <c r="D28" s="4"/>
      <c r="E28" s="4"/>
      <c r="F28" s="4" t="n">
        <v>1897</v>
      </c>
      <c r="G28" s="4" t="s">
        <v>2364</v>
      </c>
      <c r="H28" s="4" t="n">
        <v>1958</v>
      </c>
      <c r="I28" s="4" t="s">
        <v>96</v>
      </c>
      <c r="J28" s="4" t="s">
        <v>2266</v>
      </c>
    </row>
    <row r="29" customFormat="false" ht="15" hidden="false" customHeight="false" outlineLevel="0" collapsed="false">
      <c r="A29" s="4" t="s">
        <v>2365</v>
      </c>
      <c r="B29" s="4" t="s">
        <v>326</v>
      </c>
      <c r="C29" s="4" t="s">
        <v>2295</v>
      </c>
      <c r="D29" s="4"/>
      <c r="E29" s="4"/>
      <c r="F29" s="4" t="n">
        <v>1890</v>
      </c>
      <c r="G29" s="4" t="s">
        <v>2364</v>
      </c>
      <c r="H29" s="4" t="n">
        <v>1958</v>
      </c>
      <c r="I29" s="4" t="s">
        <v>96</v>
      </c>
      <c r="J29" s="4" t="s">
        <v>326</v>
      </c>
    </row>
    <row r="30" customFormat="false" ht="15" hidden="false" customHeight="false" outlineLevel="0" collapsed="false">
      <c r="A30" s="4" t="s">
        <v>2366</v>
      </c>
      <c r="B30" s="4" t="s">
        <v>2266</v>
      </c>
      <c r="C30" s="4" t="s">
        <v>2295</v>
      </c>
      <c r="D30" s="4"/>
      <c r="E30" s="4"/>
      <c r="F30" s="4" t="n">
        <v>1897</v>
      </c>
      <c r="G30" s="4" t="s">
        <v>2364</v>
      </c>
      <c r="H30" s="4" t="n">
        <v>1958</v>
      </c>
      <c r="I30" s="4" t="s">
        <v>96</v>
      </c>
      <c r="J30" s="4" t="s">
        <v>2367</v>
      </c>
    </row>
    <row r="31" customFormat="false" ht="15" hidden="false" customHeight="false" outlineLevel="0" collapsed="false">
      <c r="A31" s="4" t="s">
        <v>2368</v>
      </c>
      <c r="B31" s="4" t="s">
        <v>2250</v>
      </c>
      <c r="C31" s="4" t="s">
        <v>400</v>
      </c>
      <c r="D31" s="4" t="n">
        <v>1862</v>
      </c>
      <c r="E31" s="4" t="n">
        <v>1890</v>
      </c>
      <c r="F31" s="4" t="n">
        <v>1898</v>
      </c>
      <c r="G31" s="4" t="s">
        <v>2369</v>
      </c>
      <c r="H31" s="4" t="n">
        <v>1960</v>
      </c>
      <c r="I31" s="4" t="s">
        <v>96</v>
      </c>
      <c r="J31" s="4" t="s">
        <v>2250</v>
      </c>
    </row>
    <row r="32" customFormat="false" ht="15" hidden="false" customHeight="false" outlineLevel="0" collapsed="false">
      <c r="A32" s="4" t="s">
        <v>2370</v>
      </c>
      <c r="B32" s="4" t="s">
        <v>513</v>
      </c>
      <c r="C32" s="4" t="s">
        <v>2295</v>
      </c>
      <c r="D32" s="4"/>
      <c r="E32" s="4"/>
      <c r="F32" s="4" t="n">
        <v>1895</v>
      </c>
      <c r="G32" s="4" t="s">
        <v>2369</v>
      </c>
      <c r="H32" s="4" t="n">
        <v>1960</v>
      </c>
      <c r="I32" s="4" t="s">
        <v>2311</v>
      </c>
      <c r="J32" s="4" t="s">
        <v>2371</v>
      </c>
    </row>
    <row r="33" customFormat="false" ht="15" hidden="false" customHeight="false" outlineLevel="0" collapsed="false">
      <c r="A33" s="4" t="s">
        <v>2372</v>
      </c>
      <c r="B33" s="4" t="s">
        <v>2250</v>
      </c>
      <c r="C33" s="4" t="s">
        <v>2295</v>
      </c>
      <c r="D33" s="4" t="n">
        <v>1873</v>
      </c>
      <c r="E33" s="4"/>
      <c r="F33" s="4" t="n">
        <v>1890</v>
      </c>
      <c r="G33" s="4" t="s">
        <v>2369</v>
      </c>
      <c r="H33" s="4" t="n">
        <v>1960</v>
      </c>
      <c r="I33" s="4" t="s">
        <v>96</v>
      </c>
      <c r="J33" s="4" t="s">
        <v>2250</v>
      </c>
    </row>
    <row r="34" customFormat="false" ht="15" hidden="false" customHeight="false" outlineLevel="0" collapsed="false">
      <c r="A34" s="4" t="s">
        <v>2373</v>
      </c>
      <c r="B34" s="4" t="s">
        <v>2253</v>
      </c>
      <c r="C34" s="4" t="s">
        <v>2295</v>
      </c>
      <c r="D34" s="4"/>
      <c r="E34" s="4"/>
      <c r="F34" s="4" t="n">
        <v>1892</v>
      </c>
      <c r="G34" s="4" t="s">
        <v>2369</v>
      </c>
      <c r="H34" s="4" t="n">
        <v>1960</v>
      </c>
      <c r="I34" s="4" t="s">
        <v>2374</v>
      </c>
      <c r="J34" s="4" t="s">
        <v>2375</v>
      </c>
    </row>
    <row r="35" customFormat="false" ht="15" hidden="false" customHeight="false" outlineLevel="0" collapsed="false">
      <c r="A35" s="4" t="s">
        <v>2376</v>
      </c>
      <c r="B35" s="4" t="s">
        <v>504</v>
      </c>
      <c r="C35" s="4" t="s">
        <v>400</v>
      </c>
      <c r="D35" s="4" t="n">
        <v>1862</v>
      </c>
      <c r="E35" s="4" t="n">
        <v>1892</v>
      </c>
      <c r="F35" s="4" t="n">
        <v>1898</v>
      </c>
      <c r="G35" s="4" t="s">
        <v>2369</v>
      </c>
      <c r="H35" s="4" t="n">
        <v>1960</v>
      </c>
      <c r="I35" s="4" t="s">
        <v>96</v>
      </c>
      <c r="J35" s="4" t="s">
        <v>504</v>
      </c>
    </row>
    <row r="36" customFormat="false" ht="15" hidden="false" customHeight="false" outlineLevel="0" collapsed="false">
      <c r="A36" s="4" t="s">
        <v>2377</v>
      </c>
      <c r="B36" s="4" t="s">
        <v>206</v>
      </c>
      <c r="C36" s="4" t="s">
        <v>2295</v>
      </c>
      <c r="D36" s="4"/>
      <c r="E36" s="4"/>
      <c r="F36" s="4" t="n">
        <v>1893</v>
      </c>
      <c r="G36" s="4" t="s">
        <v>2369</v>
      </c>
      <c r="H36" s="4" t="n">
        <v>1960</v>
      </c>
      <c r="I36" s="4" t="s">
        <v>2244</v>
      </c>
      <c r="J36" s="4" t="s">
        <v>2378</v>
      </c>
    </row>
    <row r="37" customFormat="false" ht="15" hidden="false" customHeight="false" outlineLevel="0" collapsed="false">
      <c r="A37" s="4" t="s">
        <v>2379</v>
      </c>
      <c r="B37" s="4" t="s">
        <v>206</v>
      </c>
      <c r="C37" s="4" t="s">
        <v>2295</v>
      </c>
      <c r="D37" s="4"/>
      <c r="E37" s="4"/>
      <c r="F37" s="4" t="n">
        <v>1893</v>
      </c>
      <c r="G37" s="4" t="s">
        <v>2369</v>
      </c>
      <c r="H37" s="4" t="n">
        <v>1960</v>
      </c>
      <c r="I37" s="4" t="s">
        <v>96</v>
      </c>
      <c r="J37" s="4" t="s">
        <v>2244</v>
      </c>
    </row>
    <row r="38" customFormat="false" ht="15" hidden="false" customHeight="false" outlineLevel="0" collapsed="false">
      <c r="A38" s="4" t="s">
        <v>2380</v>
      </c>
      <c r="B38" s="4" t="s">
        <v>504</v>
      </c>
      <c r="C38" s="4" t="s">
        <v>2295</v>
      </c>
      <c r="D38" s="4"/>
      <c r="E38" s="4"/>
      <c r="F38" s="4" t="n">
        <v>1890</v>
      </c>
      <c r="G38" s="4" t="s">
        <v>2369</v>
      </c>
      <c r="H38" s="4" t="n">
        <v>1960</v>
      </c>
      <c r="I38" s="4" t="s">
        <v>96</v>
      </c>
      <c r="J38" s="4" t="s">
        <v>2381</v>
      </c>
    </row>
    <row r="39" customFormat="false" ht="15" hidden="false" customHeight="false" outlineLevel="0" collapsed="false">
      <c r="A39" s="4" t="s">
        <v>2382</v>
      </c>
      <c r="B39" s="4" t="s">
        <v>2244</v>
      </c>
      <c r="C39" s="4" t="s">
        <v>2295</v>
      </c>
      <c r="D39" s="4" t="n">
        <v>1875</v>
      </c>
      <c r="E39" s="4"/>
      <c r="F39" s="4" t="n">
        <v>1900</v>
      </c>
      <c r="G39" s="4" t="s">
        <v>2383</v>
      </c>
      <c r="H39" s="4" t="n">
        <v>1961</v>
      </c>
      <c r="I39" s="4" t="s">
        <v>2384</v>
      </c>
      <c r="J39" s="4" t="s">
        <v>2385</v>
      </c>
    </row>
    <row r="40" customFormat="false" ht="15" hidden="false" customHeight="false" outlineLevel="0" collapsed="false">
      <c r="A40" s="4" t="s">
        <v>2386</v>
      </c>
      <c r="B40" s="4" t="s">
        <v>2228</v>
      </c>
      <c r="C40" s="4" t="s">
        <v>2295</v>
      </c>
      <c r="D40" s="4" t="n">
        <v>1873</v>
      </c>
      <c r="E40" s="4"/>
      <c r="F40" s="4" t="n">
        <v>1896</v>
      </c>
      <c r="G40" s="4" t="s">
        <v>2383</v>
      </c>
      <c r="H40" s="4" t="n">
        <v>1961</v>
      </c>
      <c r="I40" s="4" t="s">
        <v>96</v>
      </c>
      <c r="J40" s="4" t="s">
        <v>2228</v>
      </c>
    </row>
    <row r="41" customFormat="false" ht="15" hidden="false" customHeight="false" outlineLevel="0" collapsed="false">
      <c r="A41" s="4" t="s">
        <v>2387</v>
      </c>
      <c r="B41" s="4" t="s">
        <v>2228</v>
      </c>
      <c r="C41" s="4" t="s">
        <v>2295</v>
      </c>
      <c r="D41" s="4" t="n">
        <v>1865</v>
      </c>
      <c r="E41" s="4"/>
      <c r="F41" s="4" t="n">
        <v>1896</v>
      </c>
      <c r="G41" s="4" t="s">
        <v>2383</v>
      </c>
      <c r="H41" s="4" t="n">
        <v>1961</v>
      </c>
      <c r="I41" s="4" t="s">
        <v>2388</v>
      </c>
      <c r="J41" s="4" t="s">
        <v>2389</v>
      </c>
    </row>
    <row r="42" customFormat="false" ht="15" hidden="false" customHeight="false" outlineLevel="0" collapsed="false">
      <c r="A42" s="4" t="s">
        <v>2390</v>
      </c>
      <c r="B42" s="4" t="s">
        <v>2228</v>
      </c>
      <c r="C42" s="4" t="s">
        <v>2295</v>
      </c>
      <c r="D42" s="4"/>
      <c r="E42" s="4"/>
      <c r="F42" s="4" t="n">
        <v>1900</v>
      </c>
      <c r="G42" s="4" t="s">
        <v>2383</v>
      </c>
      <c r="H42" s="4" t="n">
        <v>1961</v>
      </c>
      <c r="I42" s="4" t="s">
        <v>96</v>
      </c>
      <c r="J42" s="4" t="s">
        <v>2228</v>
      </c>
    </row>
    <row r="43" customFormat="false" ht="15" hidden="false" customHeight="false" outlineLevel="0" collapsed="false">
      <c r="A43" s="4" t="s">
        <v>2391</v>
      </c>
      <c r="B43" s="4" t="s">
        <v>624</v>
      </c>
      <c r="C43" s="4" t="s">
        <v>400</v>
      </c>
      <c r="D43" s="4" t="n">
        <v>1862</v>
      </c>
      <c r="E43" s="4" t="n">
        <v>1895</v>
      </c>
      <c r="F43" s="4" t="n">
        <v>1898</v>
      </c>
      <c r="G43" s="4" t="s">
        <v>2392</v>
      </c>
      <c r="H43" s="4" t="n">
        <v>1962</v>
      </c>
      <c r="I43" s="4" t="s">
        <v>2393</v>
      </c>
      <c r="J43" s="4" t="s">
        <v>2394</v>
      </c>
    </row>
    <row r="44" customFormat="false" ht="15" hidden="false" customHeight="false" outlineLevel="0" collapsed="false">
      <c r="A44" s="4" t="s">
        <v>2395</v>
      </c>
      <c r="B44" s="4" t="s">
        <v>2241</v>
      </c>
      <c r="C44" s="4" t="s">
        <v>502</v>
      </c>
      <c r="D44" s="4"/>
      <c r="E44" s="4"/>
      <c r="F44" s="4" t="n">
        <v>1936</v>
      </c>
      <c r="G44" s="4" t="s">
        <v>2392</v>
      </c>
      <c r="H44" s="4" t="n">
        <v>1962</v>
      </c>
      <c r="I44" s="4" t="s">
        <v>96</v>
      </c>
      <c r="J44" s="4" t="s">
        <v>2241</v>
      </c>
    </row>
    <row r="45" customFormat="false" ht="15" hidden="false" customHeight="false" outlineLevel="0" collapsed="false">
      <c r="A45" s="4" t="s">
        <v>2396</v>
      </c>
      <c r="B45" s="4" t="s">
        <v>618</v>
      </c>
      <c r="C45" s="4" t="s">
        <v>502</v>
      </c>
      <c r="D45" s="4"/>
      <c r="E45" s="4"/>
      <c r="F45" s="4" t="n">
        <v>1936</v>
      </c>
      <c r="G45" s="4" t="s">
        <v>2392</v>
      </c>
      <c r="H45" s="4" t="n">
        <v>1962</v>
      </c>
      <c r="I45" s="4" t="s">
        <v>2336</v>
      </c>
      <c r="J45" s="4" t="s">
        <v>2397</v>
      </c>
    </row>
    <row r="46" customFormat="false" ht="15" hidden="false" customHeight="false" outlineLevel="0" collapsed="false">
      <c r="A46" s="4" t="s">
        <v>2398</v>
      </c>
      <c r="B46" s="4" t="s">
        <v>2223</v>
      </c>
      <c r="C46" s="4" t="s">
        <v>2295</v>
      </c>
      <c r="D46" s="4" t="n">
        <v>1872</v>
      </c>
      <c r="E46" s="4"/>
      <c r="F46" s="4" t="n">
        <v>1896</v>
      </c>
      <c r="G46" s="4" t="s">
        <v>2392</v>
      </c>
      <c r="H46" s="4" t="n">
        <v>1962</v>
      </c>
      <c r="I46" s="4" t="s">
        <v>2399</v>
      </c>
      <c r="J46" s="4" t="s">
        <v>2400</v>
      </c>
    </row>
    <row r="47" customFormat="false" ht="15" hidden="false" customHeight="false" outlineLevel="0" collapsed="false">
      <c r="A47" s="4" t="s">
        <v>2401</v>
      </c>
      <c r="B47" s="4" t="s">
        <v>2277</v>
      </c>
      <c r="C47" s="4" t="s">
        <v>400</v>
      </c>
      <c r="D47" s="4"/>
      <c r="E47" s="4"/>
      <c r="F47" s="4" t="n">
        <v>1908</v>
      </c>
      <c r="G47" s="4" t="s">
        <v>2392</v>
      </c>
      <c r="H47" s="4" t="n">
        <v>1962</v>
      </c>
      <c r="I47" s="4" t="s">
        <v>96</v>
      </c>
      <c r="J47" s="4" t="s">
        <v>2274</v>
      </c>
    </row>
    <row r="48" customFormat="false" ht="15" hidden="false" customHeight="false" outlineLevel="0" collapsed="false">
      <c r="A48" s="4" t="s">
        <v>2402</v>
      </c>
      <c r="B48" s="4" t="s">
        <v>2274</v>
      </c>
      <c r="C48" s="4" t="s">
        <v>400</v>
      </c>
      <c r="D48" s="4"/>
      <c r="E48" s="4"/>
      <c r="F48" s="4" t="n">
        <v>1908</v>
      </c>
      <c r="G48" s="4" t="s">
        <v>2392</v>
      </c>
      <c r="H48" s="4" t="n">
        <v>1962</v>
      </c>
      <c r="I48" s="4" t="s">
        <v>96</v>
      </c>
      <c r="J48" s="4" t="s">
        <v>2403</v>
      </c>
    </row>
    <row r="49" customFormat="false" ht="15" hidden="false" customHeight="false" outlineLevel="0" collapsed="false">
      <c r="A49" s="4" t="s">
        <v>2404</v>
      </c>
      <c r="B49" s="4" t="s">
        <v>2277</v>
      </c>
      <c r="C49" s="4" t="s">
        <v>400</v>
      </c>
      <c r="D49" s="4"/>
      <c r="E49" s="4"/>
      <c r="F49" s="4" t="n">
        <v>1892</v>
      </c>
      <c r="G49" s="4" t="s">
        <v>2392</v>
      </c>
      <c r="H49" s="4" t="n">
        <v>1962</v>
      </c>
      <c r="I49" s="4" t="s">
        <v>96</v>
      </c>
      <c r="J49" s="4" t="s">
        <v>2274</v>
      </c>
    </row>
    <row r="50" customFormat="false" ht="15" hidden="false" customHeight="false" outlineLevel="0" collapsed="false">
      <c r="A50" s="4" t="s">
        <v>2405</v>
      </c>
      <c r="B50" s="4" t="s">
        <v>2351</v>
      </c>
      <c r="C50" s="4" t="s">
        <v>2295</v>
      </c>
      <c r="D50" s="4" t="n">
        <v>1872</v>
      </c>
      <c r="E50" s="4"/>
      <c r="F50" s="4" t="n">
        <v>1895</v>
      </c>
      <c r="G50" s="4" t="s">
        <v>2406</v>
      </c>
      <c r="H50" s="4"/>
      <c r="I50" s="4" t="s">
        <v>2407</v>
      </c>
      <c r="J50" s="4" t="s">
        <v>2408</v>
      </c>
    </row>
    <row r="51" customFormat="false" ht="15" hidden="false" customHeight="false" outlineLevel="0" collapsed="false">
      <c r="A51" s="4" t="s">
        <v>2409</v>
      </c>
      <c r="B51" s="4" t="s">
        <v>2407</v>
      </c>
      <c r="C51" s="4" t="s">
        <v>2295</v>
      </c>
      <c r="D51" s="4" t="n">
        <v>1872</v>
      </c>
      <c r="E51" s="4"/>
      <c r="F51" s="4" t="n">
        <v>1895</v>
      </c>
      <c r="G51" s="4" t="s">
        <v>2406</v>
      </c>
      <c r="H51" s="4"/>
      <c r="I51" s="4" t="s">
        <v>2393</v>
      </c>
      <c r="J51" s="4" t="s">
        <v>2410</v>
      </c>
    </row>
    <row r="52" customFormat="false" ht="15" hidden="false" customHeight="false" outlineLevel="0" collapsed="false">
      <c r="A52" s="4" t="s">
        <v>2411</v>
      </c>
      <c r="B52" s="4" t="s">
        <v>2412</v>
      </c>
      <c r="C52" s="4" t="s">
        <v>2295</v>
      </c>
      <c r="D52" s="4"/>
      <c r="E52" s="4"/>
      <c r="F52" s="4" t="n">
        <v>1888</v>
      </c>
      <c r="G52" s="4" t="s">
        <v>2413</v>
      </c>
      <c r="H52" s="4"/>
      <c r="I52" s="4" t="s">
        <v>2414</v>
      </c>
      <c r="J52" s="4" t="s">
        <v>2415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3" min="3" style="0" width="16"/>
    <col collapsed="false" customWidth="true" hidden="false" outlineLevel="0" max="4" min="4" style="0" width="22"/>
    <col collapsed="false" customWidth="true" hidden="false" outlineLevel="0" max="5" min="5" style="0" width="30"/>
    <col collapsed="false" customWidth="true" hidden="false" outlineLevel="0" max="6" min="6" style="0" width="24"/>
    <col collapsed="false" customWidth="true" hidden="false" outlineLevel="0" max="7" min="7" style="0" width="44"/>
    <col collapsed="false" customWidth="true" hidden="false" outlineLevel="0" max="8" min="8" style="0" width="12"/>
  </cols>
  <sheetData>
    <row r="1" customFormat="false" ht="23.85" hidden="false" customHeight="false" outlineLevel="0" collapsed="false">
      <c r="A1" s="11" t="s">
        <v>2056</v>
      </c>
      <c r="B1" s="11" t="s">
        <v>2416</v>
      </c>
      <c r="C1" s="11" t="s">
        <v>2417</v>
      </c>
      <c r="D1" s="11" t="s">
        <v>2418</v>
      </c>
      <c r="E1" s="11" t="s">
        <v>2419</v>
      </c>
      <c r="F1" s="11" t="s">
        <v>2420</v>
      </c>
      <c r="G1" s="11" t="s">
        <v>45</v>
      </c>
      <c r="H1" s="11" t="s">
        <v>46</v>
      </c>
    </row>
    <row r="2" customFormat="false" ht="23.85" hidden="false" customHeight="false" outlineLevel="0" collapsed="false">
      <c r="A2" s="4" t="s">
        <v>55</v>
      </c>
      <c r="B2" s="4" t="s">
        <v>1623</v>
      </c>
      <c r="C2" s="4" t="s">
        <v>1626</v>
      </c>
      <c r="D2" s="4" t="s">
        <v>2421</v>
      </c>
      <c r="E2" s="4" t="s">
        <v>400</v>
      </c>
      <c r="F2" s="4" t="s">
        <v>2422</v>
      </c>
      <c r="G2" s="4" t="s">
        <v>2423</v>
      </c>
      <c r="H2" s="4" t="s">
        <v>295</v>
      </c>
    </row>
    <row r="3" customFormat="false" ht="23.85" hidden="false" customHeight="false" outlineLevel="0" collapsed="false">
      <c r="A3" s="4" t="s">
        <v>105</v>
      </c>
      <c r="B3" s="4" t="s">
        <v>1648</v>
      </c>
      <c r="C3" s="4" t="s">
        <v>2424</v>
      </c>
      <c r="D3" s="4" t="s">
        <v>1893</v>
      </c>
      <c r="E3" s="4" t="s">
        <v>2425</v>
      </c>
      <c r="F3" s="4" t="s">
        <v>2426</v>
      </c>
      <c r="G3" s="4" t="s">
        <v>2427</v>
      </c>
      <c r="H3" s="4" t="s">
        <v>295</v>
      </c>
    </row>
    <row r="4" customFormat="false" ht="23.85" hidden="false" customHeight="false" outlineLevel="0" collapsed="false">
      <c r="A4" s="4" t="s">
        <v>2428</v>
      </c>
      <c r="B4" s="4" t="s">
        <v>1659</v>
      </c>
      <c r="C4" s="4" t="s">
        <v>2429</v>
      </c>
      <c r="D4" s="4" t="s">
        <v>1681</v>
      </c>
      <c r="E4" s="4" t="s">
        <v>2430</v>
      </c>
      <c r="F4" s="4" t="s">
        <v>2431</v>
      </c>
      <c r="G4" s="4" t="s">
        <v>2432</v>
      </c>
      <c r="H4" s="4" t="s">
        <v>295</v>
      </c>
    </row>
    <row r="5" customFormat="false" ht="15" hidden="false" customHeight="false" outlineLevel="0" collapsed="false">
      <c r="A5" s="4" t="s">
        <v>213</v>
      </c>
      <c r="B5" s="4" t="s">
        <v>1661</v>
      </c>
      <c r="C5" s="4" t="s">
        <v>1498</v>
      </c>
      <c r="D5" s="4" t="s">
        <v>1893</v>
      </c>
      <c r="E5" s="4" t="s">
        <v>282</v>
      </c>
      <c r="F5" s="4" t="s">
        <v>2433</v>
      </c>
      <c r="G5" s="4" t="s">
        <v>2434</v>
      </c>
      <c r="H5" s="4" t="s">
        <v>295</v>
      </c>
    </row>
    <row r="6" customFormat="false" ht="23.85" hidden="false" customHeight="false" outlineLevel="0" collapsed="false">
      <c r="A6" s="4" t="s">
        <v>2435</v>
      </c>
      <c r="B6" s="4" t="s">
        <v>1666</v>
      </c>
      <c r="C6" s="4" t="s">
        <v>96</v>
      </c>
      <c r="D6" s="4" t="s">
        <v>120</v>
      </c>
      <c r="E6" s="4" t="s">
        <v>2430</v>
      </c>
      <c r="F6" s="4" t="s">
        <v>2436</v>
      </c>
      <c r="G6" s="4" t="s">
        <v>2437</v>
      </c>
      <c r="H6" s="4" t="s">
        <v>295</v>
      </c>
    </row>
    <row r="7" customFormat="false" ht="15" hidden="false" customHeight="false" outlineLevel="0" collapsed="false">
      <c r="A7" s="4" t="s">
        <v>2438</v>
      </c>
      <c r="B7" s="4" t="s">
        <v>1666</v>
      </c>
      <c r="C7" s="4" t="s">
        <v>134</v>
      </c>
      <c r="D7" s="4" t="s">
        <v>2439</v>
      </c>
      <c r="E7" s="4" t="s">
        <v>2430</v>
      </c>
      <c r="F7" s="4" t="s">
        <v>2431</v>
      </c>
      <c r="G7" s="4" t="s">
        <v>2440</v>
      </c>
      <c r="H7" s="4" t="s">
        <v>295</v>
      </c>
    </row>
    <row r="8" customFormat="false" ht="23.85" hidden="false" customHeight="false" outlineLevel="0" collapsed="false">
      <c r="A8" s="4" t="s">
        <v>247</v>
      </c>
      <c r="B8" s="4" t="s">
        <v>2441</v>
      </c>
      <c r="C8" s="4" t="s">
        <v>250</v>
      </c>
      <c r="D8" s="4" t="s">
        <v>1951</v>
      </c>
      <c r="E8" s="4" t="s">
        <v>282</v>
      </c>
      <c r="F8" s="4" t="s">
        <v>2442</v>
      </c>
      <c r="G8" s="4" t="s">
        <v>2443</v>
      </c>
      <c r="H8" s="4" t="s">
        <v>295</v>
      </c>
    </row>
    <row r="9" customFormat="false" ht="23.85" hidden="false" customHeight="false" outlineLevel="0" collapsed="false">
      <c r="A9" s="4" t="s">
        <v>2444</v>
      </c>
      <c r="B9" s="4" t="s">
        <v>1683</v>
      </c>
      <c r="C9" s="4" t="s">
        <v>250</v>
      </c>
      <c r="D9" s="4" t="s">
        <v>60</v>
      </c>
      <c r="E9" s="4" t="s">
        <v>2106</v>
      </c>
      <c r="F9" s="4" t="s">
        <v>2445</v>
      </c>
      <c r="G9" s="4" t="s">
        <v>2446</v>
      </c>
      <c r="H9" s="4" t="s">
        <v>295</v>
      </c>
    </row>
    <row r="10" customFormat="false" ht="15" hidden="false" customHeight="false" outlineLevel="0" collapsed="false">
      <c r="A10" s="4" t="s">
        <v>299</v>
      </c>
      <c r="B10" s="4" t="s">
        <v>1709</v>
      </c>
      <c r="C10" s="4" t="s">
        <v>1711</v>
      </c>
      <c r="D10" s="4" t="s">
        <v>2447</v>
      </c>
      <c r="E10" s="4" t="s">
        <v>2448</v>
      </c>
      <c r="F10" s="4" t="s">
        <v>2449</v>
      </c>
      <c r="G10" s="4"/>
      <c r="H10" s="4" t="s">
        <v>295</v>
      </c>
    </row>
    <row r="11" customFormat="false" ht="15" hidden="false" customHeight="false" outlineLevel="0" collapsed="false">
      <c r="A11" s="4" t="s">
        <v>368</v>
      </c>
      <c r="B11" s="4" t="s">
        <v>1715</v>
      </c>
      <c r="C11" s="4" t="s">
        <v>73</v>
      </c>
      <c r="D11" s="4" t="s">
        <v>2421</v>
      </c>
      <c r="E11" s="4" t="s">
        <v>400</v>
      </c>
      <c r="F11" s="4" t="s">
        <v>176</v>
      </c>
      <c r="G11" s="4" t="s">
        <v>2450</v>
      </c>
      <c r="H11" s="4" t="s">
        <v>295</v>
      </c>
    </row>
    <row r="12" customFormat="false" ht="15" hidden="false" customHeight="false" outlineLevel="0" collapsed="false">
      <c r="A12" s="4" t="s">
        <v>426</v>
      </c>
      <c r="B12" s="4" t="s">
        <v>1718</v>
      </c>
      <c r="C12" s="4" t="s">
        <v>1735</v>
      </c>
      <c r="D12" s="4" t="s">
        <v>2451</v>
      </c>
      <c r="E12" s="4" t="s">
        <v>282</v>
      </c>
      <c r="F12" s="4" t="s">
        <v>176</v>
      </c>
      <c r="G12" s="4"/>
      <c r="H12" s="4" t="s">
        <v>295</v>
      </c>
    </row>
    <row r="13" customFormat="false" ht="15" hidden="false" customHeight="false" outlineLevel="0" collapsed="false">
      <c r="A13" s="4" t="s">
        <v>197</v>
      </c>
      <c r="B13" s="4" t="s">
        <v>1703</v>
      </c>
      <c r="C13" s="4" t="s">
        <v>73</v>
      </c>
      <c r="D13" s="4" t="s">
        <v>359</v>
      </c>
      <c r="E13" s="4" t="s">
        <v>282</v>
      </c>
      <c r="F13" s="4" t="s">
        <v>2452</v>
      </c>
      <c r="G13" s="4"/>
      <c r="H13" s="4" t="s">
        <v>295</v>
      </c>
    </row>
    <row r="14" customFormat="false" ht="15" hidden="false" customHeight="false" outlineLevel="0" collapsed="false">
      <c r="A14" s="4" t="s">
        <v>2453</v>
      </c>
      <c r="B14" s="4" t="s">
        <v>318</v>
      </c>
      <c r="C14" s="4" t="s">
        <v>2454</v>
      </c>
      <c r="D14" s="4" t="s">
        <v>448</v>
      </c>
      <c r="E14" s="4" t="s">
        <v>2455</v>
      </c>
      <c r="F14" s="4" t="s">
        <v>176</v>
      </c>
      <c r="G14" s="4"/>
      <c r="H14" s="4" t="s">
        <v>450</v>
      </c>
    </row>
    <row r="15" customFormat="false" ht="15" hidden="false" customHeight="false" outlineLevel="0" collapsed="false">
      <c r="A15" s="4" t="s">
        <v>2456</v>
      </c>
      <c r="B15" s="4" t="s">
        <v>73</v>
      </c>
      <c r="C15" s="4" t="s">
        <v>73</v>
      </c>
      <c r="D15" s="4" t="s">
        <v>96</v>
      </c>
      <c r="E15" s="4" t="s">
        <v>282</v>
      </c>
      <c r="F15" s="4" t="s">
        <v>176</v>
      </c>
      <c r="G15" s="4" t="s">
        <v>2457</v>
      </c>
      <c r="H15" s="4" t="s">
        <v>295</v>
      </c>
    </row>
    <row r="16" customFormat="false" ht="23.85" hidden="false" customHeight="false" outlineLevel="0" collapsed="false">
      <c r="A16" s="4" t="s">
        <v>2458</v>
      </c>
      <c r="B16" s="4" t="s">
        <v>2459</v>
      </c>
      <c r="C16" s="4" t="s">
        <v>2460</v>
      </c>
      <c r="D16" s="4" t="s">
        <v>555</v>
      </c>
      <c r="E16" s="4" t="s">
        <v>2461</v>
      </c>
      <c r="F16" s="4" t="s">
        <v>176</v>
      </c>
      <c r="G16" s="4" t="s">
        <v>2462</v>
      </c>
      <c r="H16" s="4" t="s">
        <v>450</v>
      </c>
    </row>
    <row r="17" customFormat="false" ht="15" hidden="false" customHeight="false" outlineLevel="0" collapsed="false">
      <c r="A17" s="4" t="s">
        <v>2463</v>
      </c>
      <c r="B17" s="4" t="s">
        <v>2464</v>
      </c>
      <c r="C17" s="4" t="s">
        <v>346</v>
      </c>
      <c r="D17" s="4" t="s">
        <v>60</v>
      </c>
      <c r="E17" s="4" t="s">
        <v>2465</v>
      </c>
      <c r="F17" s="4" t="s">
        <v>176</v>
      </c>
      <c r="G17" s="4" t="s">
        <v>2466</v>
      </c>
      <c r="H17" s="4" t="s">
        <v>2467</v>
      </c>
    </row>
    <row r="18" customFormat="false" ht="23.85" hidden="false" customHeight="false" outlineLevel="0" collapsed="false">
      <c r="A18" s="4" t="s">
        <v>455</v>
      </c>
      <c r="B18" s="4" t="s">
        <v>2468</v>
      </c>
      <c r="C18" s="4" t="s">
        <v>121</v>
      </c>
      <c r="D18" s="4" t="s">
        <v>2469</v>
      </c>
      <c r="E18" s="4" t="s">
        <v>282</v>
      </c>
      <c r="F18" s="4" t="s">
        <v>176</v>
      </c>
      <c r="G18" s="4" t="s">
        <v>2470</v>
      </c>
      <c r="H18" s="4" t="s">
        <v>295</v>
      </c>
    </row>
    <row r="19" customFormat="false" ht="15" hidden="false" customHeight="false" outlineLevel="0" collapsed="false">
      <c r="A19" s="4" t="s">
        <v>655</v>
      </c>
      <c r="B19" s="4" t="s">
        <v>2471</v>
      </c>
      <c r="C19" s="4" t="s">
        <v>2472</v>
      </c>
      <c r="D19" s="4" t="s">
        <v>1948</v>
      </c>
      <c r="E19" s="4" t="s">
        <v>646</v>
      </c>
      <c r="F19" s="4" t="s">
        <v>2442</v>
      </c>
      <c r="G19" s="4" t="s">
        <v>2473</v>
      </c>
      <c r="H19" s="4" t="s">
        <v>639</v>
      </c>
    </row>
    <row r="20" customFormat="false" ht="23.85" hidden="false" customHeight="false" outlineLevel="0" collapsed="false">
      <c r="A20" s="4" t="s">
        <v>633</v>
      </c>
      <c r="B20" s="4" t="s">
        <v>2474</v>
      </c>
      <c r="C20" s="4" t="s">
        <v>59</v>
      </c>
      <c r="D20" s="4" t="s">
        <v>1948</v>
      </c>
      <c r="E20" s="4" t="s">
        <v>646</v>
      </c>
      <c r="F20" s="4" t="s">
        <v>176</v>
      </c>
      <c r="G20" s="4" t="s">
        <v>2475</v>
      </c>
      <c r="H20" s="4" t="s">
        <v>639</v>
      </c>
    </row>
    <row r="21" customFormat="false" ht="23.85" hidden="false" customHeight="false" outlineLevel="0" collapsed="false">
      <c r="A21" s="4" t="s">
        <v>2476</v>
      </c>
      <c r="B21" s="4" t="s">
        <v>2477</v>
      </c>
      <c r="C21" s="4" t="s">
        <v>346</v>
      </c>
      <c r="D21" s="4" t="s">
        <v>1576</v>
      </c>
      <c r="E21" s="4" t="s">
        <v>2478</v>
      </c>
      <c r="F21" s="4" t="s">
        <v>2479</v>
      </c>
      <c r="G21" s="4"/>
      <c r="H21" s="4" t="s">
        <v>2480</v>
      </c>
    </row>
    <row r="22" customFormat="false" ht="15" hidden="false" customHeight="false" outlineLevel="0" collapsed="false">
      <c r="A22" s="4" t="s">
        <v>2481</v>
      </c>
      <c r="B22" s="4" t="s">
        <v>1792</v>
      </c>
      <c r="C22" s="4" t="s">
        <v>109</v>
      </c>
      <c r="D22" s="4" t="s">
        <v>217</v>
      </c>
      <c r="E22" s="4" t="s">
        <v>2106</v>
      </c>
      <c r="F22" s="4" t="s">
        <v>2482</v>
      </c>
      <c r="G22" s="4" t="s">
        <v>2483</v>
      </c>
      <c r="H22" s="4" t="s">
        <v>295</v>
      </c>
    </row>
    <row r="23" customFormat="false" ht="23.85" hidden="false" customHeight="false" outlineLevel="0" collapsed="false">
      <c r="A23" s="4" t="s">
        <v>2484</v>
      </c>
      <c r="B23" s="4" t="s">
        <v>2485</v>
      </c>
      <c r="C23" s="4" t="s">
        <v>2421</v>
      </c>
      <c r="D23" s="4" t="s">
        <v>2486</v>
      </c>
      <c r="E23" s="4" t="s">
        <v>502</v>
      </c>
      <c r="F23" s="4" t="s">
        <v>2487</v>
      </c>
      <c r="G23" s="4" t="s">
        <v>2488</v>
      </c>
      <c r="H23" s="4" t="s">
        <v>295</v>
      </c>
    </row>
    <row r="24" customFormat="false" ht="23.85" hidden="false" customHeight="false" outlineLevel="0" collapsed="false">
      <c r="A24" s="4" t="s">
        <v>2489</v>
      </c>
      <c r="B24" s="4" t="s">
        <v>482</v>
      </c>
      <c r="C24" s="4" t="s">
        <v>2490</v>
      </c>
      <c r="D24" s="4" t="s">
        <v>419</v>
      </c>
      <c r="E24" s="4" t="s">
        <v>96</v>
      </c>
      <c r="F24" s="4" t="s">
        <v>176</v>
      </c>
      <c r="G24" s="4" t="s">
        <v>2491</v>
      </c>
      <c r="H24" s="4" t="s">
        <v>421</v>
      </c>
    </row>
    <row r="25" customFormat="false" ht="15" hidden="false" customHeight="false" outlineLevel="0" collapsed="false">
      <c r="A25" s="4" t="s">
        <v>530</v>
      </c>
      <c r="B25" s="4" t="s">
        <v>2492</v>
      </c>
      <c r="C25" s="4" t="s">
        <v>2493</v>
      </c>
      <c r="D25" s="4" t="s">
        <v>2494</v>
      </c>
      <c r="E25" s="4" t="s">
        <v>282</v>
      </c>
      <c r="F25" s="4" t="s">
        <v>176</v>
      </c>
      <c r="G25" s="4"/>
      <c r="H25" s="4" t="s">
        <v>450</v>
      </c>
    </row>
    <row r="26" customFormat="false" ht="15" hidden="false" customHeight="false" outlineLevel="0" collapsed="false">
      <c r="A26" s="4" t="s">
        <v>2495</v>
      </c>
      <c r="B26" s="4" t="s">
        <v>346</v>
      </c>
      <c r="C26" s="4" t="s">
        <v>96</v>
      </c>
      <c r="D26" s="4" t="s">
        <v>2496</v>
      </c>
      <c r="E26" s="4" t="s">
        <v>282</v>
      </c>
      <c r="F26" s="4" t="s">
        <v>176</v>
      </c>
      <c r="G26" s="4"/>
      <c r="H26" s="4" t="s">
        <v>295</v>
      </c>
    </row>
    <row r="27" customFormat="false" ht="15" hidden="false" customHeight="false" outlineLevel="0" collapsed="false">
      <c r="A27" s="4" t="s">
        <v>2497</v>
      </c>
      <c r="B27" s="4" t="s">
        <v>60</v>
      </c>
      <c r="C27" s="4" t="s">
        <v>60</v>
      </c>
      <c r="D27" s="4" t="s">
        <v>2451</v>
      </c>
      <c r="E27" s="4" t="s">
        <v>282</v>
      </c>
      <c r="F27" s="4" t="s">
        <v>176</v>
      </c>
      <c r="G27" s="4" t="s">
        <v>2498</v>
      </c>
      <c r="H27" s="4" t="s">
        <v>295</v>
      </c>
    </row>
    <row r="28" customFormat="false" ht="15" hidden="false" customHeight="false" outlineLevel="0" collapsed="false">
      <c r="A28" s="4" t="s">
        <v>570</v>
      </c>
      <c r="B28" s="4" t="s">
        <v>1864</v>
      </c>
      <c r="C28" s="4" t="s">
        <v>2499</v>
      </c>
      <c r="D28" s="4" t="s">
        <v>2500</v>
      </c>
      <c r="E28" s="4" t="s">
        <v>96</v>
      </c>
      <c r="F28" s="4" t="s">
        <v>176</v>
      </c>
      <c r="G28" s="4"/>
      <c r="H28" s="4" t="s">
        <v>149</v>
      </c>
    </row>
    <row r="29" customFormat="false" ht="23.85" hidden="false" customHeight="false" outlineLevel="0" collapsed="false">
      <c r="A29" s="4" t="s">
        <v>2501</v>
      </c>
      <c r="B29" s="4" t="s">
        <v>2502</v>
      </c>
      <c r="C29" s="4" t="s">
        <v>96</v>
      </c>
      <c r="D29" s="4" t="s">
        <v>2503</v>
      </c>
      <c r="E29" s="4" t="s">
        <v>282</v>
      </c>
      <c r="F29" s="4" t="s">
        <v>2504</v>
      </c>
      <c r="G29" s="4" t="s">
        <v>2505</v>
      </c>
      <c r="H29" s="4" t="s">
        <v>295</v>
      </c>
    </row>
    <row r="30" customFormat="false" ht="23.85" hidden="false" customHeight="false" outlineLevel="0" collapsed="false">
      <c r="A30" s="4" t="s">
        <v>683</v>
      </c>
      <c r="B30" s="4" t="s">
        <v>2506</v>
      </c>
      <c r="C30" s="4" t="s">
        <v>2507</v>
      </c>
      <c r="D30" s="4" t="s">
        <v>2508</v>
      </c>
      <c r="E30" s="4" t="s">
        <v>2509</v>
      </c>
      <c r="F30" s="4" t="s">
        <v>694</v>
      </c>
      <c r="G30" s="4"/>
      <c r="H30" s="4" t="s">
        <v>295</v>
      </c>
    </row>
    <row r="31" customFormat="false" ht="23.85" hidden="false" customHeight="false" outlineLevel="0" collapsed="false">
      <c r="A31" s="4" t="s">
        <v>2510</v>
      </c>
      <c r="B31" s="4" t="s">
        <v>2511</v>
      </c>
      <c r="C31" s="4" t="s">
        <v>359</v>
      </c>
      <c r="D31" s="4" t="s">
        <v>2486</v>
      </c>
      <c r="E31" s="4" t="s">
        <v>502</v>
      </c>
      <c r="F31" s="4" t="s">
        <v>176</v>
      </c>
      <c r="G31" s="4" t="s">
        <v>2512</v>
      </c>
      <c r="H31" s="4" t="s">
        <v>295</v>
      </c>
    </row>
    <row r="32" customFormat="false" ht="23.85" hidden="false" customHeight="false" outlineLevel="0" collapsed="false">
      <c r="A32" s="4" t="s">
        <v>2513</v>
      </c>
      <c r="B32" s="4" t="s">
        <v>2514</v>
      </c>
      <c r="C32" s="4" t="s">
        <v>555</v>
      </c>
      <c r="D32" s="4" t="s">
        <v>2515</v>
      </c>
      <c r="E32" s="4" t="s">
        <v>96</v>
      </c>
      <c r="F32" s="4" t="s">
        <v>2516</v>
      </c>
      <c r="G32" s="4"/>
      <c r="H32" s="4" t="s">
        <v>295</v>
      </c>
    </row>
    <row r="33" customFormat="false" ht="23.85" hidden="false" customHeight="false" outlineLevel="0" collapsed="false">
      <c r="A33" s="4" t="s">
        <v>692</v>
      </c>
      <c r="B33" s="4" t="s">
        <v>217</v>
      </c>
      <c r="C33" s="4" t="s">
        <v>392</v>
      </c>
      <c r="D33" s="4" t="s">
        <v>695</v>
      </c>
      <c r="E33" s="4" t="s">
        <v>96</v>
      </c>
      <c r="F33" s="4" t="s">
        <v>694</v>
      </c>
      <c r="G33" s="4"/>
      <c r="H33" s="4" t="s">
        <v>1753</v>
      </c>
    </row>
    <row r="34" customFormat="false" ht="15" hidden="false" customHeight="false" outlineLevel="0" collapsed="false">
      <c r="A34" s="4" t="s">
        <v>646</v>
      </c>
      <c r="B34" s="4" t="s">
        <v>555</v>
      </c>
      <c r="C34" s="4" t="s">
        <v>555</v>
      </c>
      <c r="D34" s="4" t="s">
        <v>2517</v>
      </c>
      <c r="E34" s="4" t="s">
        <v>2518</v>
      </c>
      <c r="F34" s="4" t="s">
        <v>176</v>
      </c>
      <c r="G34" s="4"/>
      <c r="H34" s="4" t="s">
        <v>639</v>
      </c>
    </row>
    <row r="35" customFormat="false" ht="15" hidden="false" customHeight="false" outlineLevel="0" collapsed="false">
      <c r="A35" s="4" t="s">
        <v>521</v>
      </c>
      <c r="B35" s="4" t="s">
        <v>2519</v>
      </c>
      <c r="C35" s="4" t="s">
        <v>1957</v>
      </c>
      <c r="D35" s="4" t="s">
        <v>525</v>
      </c>
      <c r="E35" s="4" t="s">
        <v>96</v>
      </c>
      <c r="F35" s="4" t="s">
        <v>176</v>
      </c>
      <c r="G35" s="4"/>
      <c r="H35" s="4" t="s">
        <v>421</v>
      </c>
    </row>
    <row r="36" customFormat="false" ht="23.85" hidden="false" customHeight="false" outlineLevel="0" collapsed="false">
      <c r="A36" s="4" t="s">
        <v>2520</v>
      </c>
      <c r="B36" s="4" t="s">
        <v>545</v>
      </c>
      <c r="C36" s="4" t="s">
        <v>545</v>
      </c>
      <c r="D36" s="4" t="s">
        <v>2521</v>
      </c>
      <c r="E36" s="4" t="s">
        <v>2522</v>
      </c>
      <c r="F36" s="4" t="s">
        <v>176</v>
      </c>
      <c r="G36" s="4"/>
      <c r="H36" s="4" t="s">
        <v>639</v>
      </c>
    </row>
    <row r="37" customFormat="false" ht="23.85" hidden="false" customHeight="false" outlineLevel="0" collapsed="false">
      <c r="A37" s="4" t="s">
        <v>2523</v>
      </c>
      <c r="B37" s="4" t="s">
        <v>1500</v>
      </c>
      <c r="C37" s="4" t="s">
        <v>2486</v>
      </c>
      <c r="D37" s="4" t="s">
        <v>2524</v>
      </c>
      <c r="E37" s="4" t="s">
        <v>2525</v>
      </c>
      <c r="F37" s="4" t="s">
        <v>2526</v>
      </c>
      <c r="G37" s="4" t="s">
        <v>2527</v>
      </c>
      <c r="H37" s="4" t="s">
        <v>295</v>
      </c>
    </row>
    <row r="38" customFormat="false" ht="23.85" hidden="false" customHeight="false" outlineLevel="0" collapsed="false">
      <c r="A38" s="4" t="s">
        <v>2528</v>
      </c>
      <c r="B38" s="4" t="s">
        <v>2529</v>
      </c>
      <c r="C38" s="4" t="s">
        <v>1611</v>
      </c>
      <c r="D38" s="4" t="s">
        <v>2530</v>
      </c>
      <c r="E38" s="4" t="s">
        <v>2531</v>
      </c>
      <c r="F38" s="4" t="s">
        <v>2526</v>
      </c>
      <c r="G38" s="4" t="s">
        <v>2532</v>
      </c>
      <c r="H38" s="4"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8"/>
    <col collapsed="false" customWidth="true" hidden="false" outlineLevel="0" max="3" min="3" style="0" width="28"/>
    <col collapsed="false" customWidth="true" hidden="false" outlineLevel="0" max="4" min="4" style="0" width="60"/>
    <col collapsed="false" customWidth="true" hidden="false" outlineLevel="0" max="5" min="5" style="0" width="22"/>
  </cols>
  <sheetData>
    <row r="1" customFormat="false" ht="15" hidden="false" customHeight="false" outlineLevel="0" collapsed="false">
      <c r="A1" s="11" t="s">
        <v>1618</v>
      </c>
      <c r="B1" s="11" t="s">
        <v>2533</v>
      </c>
      <c r="C1" s="11" t="s">
        <v>2534</v>
      </c>
      <c r="D1" s="11" t="s">
        <v>2535</v>
      </c>
      <c r="E1" s="11" t="s">
        <v>2536</v>
      </c>
    </row>
    <row r="2" customFormat="false" ht="23.85" hidden="false" customHeight="false" outlineLevel="0" collapsed="false">
      <c r="A2" s="4" t="n">
        <v>1880</v>
      </c>
      <c r="B2" s="4" t="s">
        <v>2537</v>
      </c>
      <c r="C2" s="4" t="s">
        <v>2538</v>
      </c>
      <c r="D2" s="12" t="s">
        <v>2539</v>
      </c>
      <c r="E2" s="4" t="s">
        <v>2540</v>
      </c>
    </row>
    <row r="3" customFormat="false" ht="23.85" hidden="false" customHeight="false" outlineLevel="0" collapsed="false">
      <c r="A3" s="4" t="n">
        <v>1880</v>
      </c>
      <c r="B3" s="4" t="s">
        <v>2541</v>
      </c>
      <c r="C3" s="4" t="s">
        <v>2542</v>
      </c>
      <c r="D3" s="12" t="s">
        <v>2543</v>
      </c>
      <c r="E3" s="4" t="s">
        <v>2544</v>
      </c>
    </row>
    <row r="4" customFormat="false" ht="35.05" hidden="false" customHeight="false" outlineLevel="0" collapsed="false">
      <c r="A4" s="4" t="n">
        <v>1880</v>
      </c>
      <c r="B4" s="4" t="s">
        <v>2545</v>
      </c>
      <c r="C4" s="4" t="s">
        <v>2546</v>
      </c>
      <c r="D4" s="12" t="s">
        <v>2547</v>
      </c>
      <c r="E4" s="4" t="s">
        <v>2548</v>
      </c>
    </row>
    <row r="5" customFormat="false" ht="23.85" hidden="false" customHeight="false" outlineLevel="0" collapsed="false">
      <c r="A5" s="4" t="n">
        <v>1888</v>
      </c>
      <c r="B5" s="4" t="s">
        <v>2549</v>
      </c>
      <c r="C5" s="4" t="s">
        <v>2550</v>
      </c>
      <c r="D5" s="12" t="s">
        <v>2551</v>
      </c>
      <c r="E5" s="4" t="s">
        <v>2552</v>
      </c>
    </row>
    <row r="6" customFormat="false" ht="23.85" hidden="false" customHeight="false" outlineLevel="0" collapsed="false">
      <c r="A6" s="4" t="s">
        <v>2553</v>
      </c>
      <c r="B6" s="4" t="s">
        <v>2554</v>
      </c>
      <c r="C6" s="4" t="s">
        <v>2555</v>
      </c>
      <c r="D6" s="12" t="s">
        <v>2556</v>
      </c>
      <c r="E6" s="4" t="s">
        <v>2552</v>
      </c>
    </row>
    <row r="7" customFormat="false" ht="15" hidden="false" customHeight="false" outlineLevel="0" collapsed="false">
      <c r="A7" s="4" t="n">
        <v>1891</v>
      </c>
      <c r="B7" s="4" t="s">
        <v>2557</v>
      </c>
      <c r="C7" s="4" t="s">
        <v>2558</v>
      </c>
      <c r="D7" s="12" t="s">
        <v>2559</v>
      </c>
      <c r="E7" s="4" t="s">
        <v>2560</v>
      </c>
    </row>
    <row r="8" customFormat="false" ht="23.85" hidden="false" customHeight="false" outlineLevel="0" collapsed="false">
      <c r="A8" s="4" t="n">
        <v>1891</v>
      </c>
      <c r="B8" s="4" t="s">
        <v>2561</v>
      </c>
      <c r="C8" s="4" t="s">
        <v>2562</v>
      </c>
      <c r="D8" s="12" t="s">
        <v>2563</v>
      </c>
      <c r="E8" s="4" t="s">
        <v>2564</v>
      </c>
    </row>
    <row r="9" customFormat="false" ht="15" hidden="false" customHeight="false" outlineLevel="0" collapsed="false">
      <c r="A9" s="4" t="n">
        <v>1892</v>
      </c>
      <c r="B9" s="4" t="s">
        <v>2565</v>
      </c>
      <c r="C9" s="4" t="s">
        <v>2542</v>
      </c>
      <c r="D9" s="12" t="s">
        <v>2566</v>
      </c>
      <c r="E9" s="4" t="s">
        <v>2544</v>
      </c>
    </row>
    <row r="10" customFormat="false" ht="23.85" hidden="false" customHeight="false" outlineLevel="0" collapsed="false">
      <c r="A10" s="4" t="n">
        <v>1892</v>
      </c>
      <c r="B10" s="4" t="s">
        <v>2567</v>
      </c>
      <c r="C10" s="4" t="s">
        <v>2562</v>
      </c>
      <c r="D10" s="12" t="s">
        <v>2568</v>
      </c>
      <c r="E10" s="4" t="s">
        <v>2569</v>
      </c>
    </row>
    <row r="11" customFormat="false" ht="23.85" hidden="false" customHeight="false" outlineLevel="0" collapsed="false">
      <c r="A11" s="4" t="n">
        <v>1893</v>
      </c>
      <c r="B11" s="4" t="s">
        <v>2570</v>
      </c>
      <c r="C11" s="4" t="s">
        <v>2571</v>
      </c>
      <c r="D11" s="12" t="s">
        <v>2572</v>
      </c>
      <c r="E11" s="4" t="s">
        <v>2573</v>
      </c>
    </row>
    <row r="12" customFormat="false" ht="23.85" hidden="false" customHeight="false" outlineLevel="0" collapsed="false">
      <c r="A12" s="4" t="n">
        <v>1895</v>
      </c>
      <c r="B12" s="4" t="s">
        <v>2574</v>
      </c>
      <c r="C12" s="4" t="s">
        <v>2575</v>
      </c>
      <c r="D12" s="12" t="s">
        <v>2576</v>
      </c>
      <c r="E12" s="4" t="s">
        <v>2577</v>
      </c>
    </row>
    <row r="13" customFormat="false" ht="23.85" hidden="false" customHeight="false" outlineLevel="0" collapsed="false">
      <c r="A13" s="4" t="n">
        <v>1900</v>
      </c>
      <c r="B13" s="4" t="s">
        <v>2578</v>
      </c>
      <c r="C13" s="4" t="s">
        <v>2542</v>
      </c>
      <c r="D13" s="12" t="s">
        <v>2579</v>
      </c>
      <c r="E13" s="4" t="s">
        <v>2544</v>
      </c>
    </row>
    <row r="14" customFormat="false" ht="15" hidden="false" customHeight="false" outlineLevel="0" collapsed="false">
      <c r="A14" s="4" t="n">
        <v>1904</v>
      </c>
      <c r="B14" s="4" t="s">
        <v>2580</v>
      </c>
      <c r="C14" s="4" t="s">
        <v>2542</v>
      </c>
      <c r="D14" s="12" t="s">
        <v>2581</v>
      </c>
      <c r="E14" s="4" t="s">
        <v>2544</v>
      </c>
    </row>
    <row r="15" customFormat="false" ht="35.05" hidden="false" customHeight="false" outlineLevel="0" collapsed="false">
      <c r="A15" s="4" t="n">
        <v>1910</v>
      </c>
      <c r="B15" s="4" t="s">
        <v>2582</v>
      </c>
      <c r="C15" s="4" t="s">
        <v>2583</v>
      </c>
      <c r="D15" s="12" t="s">
        <v>2584</v>
      </c>
      <c r="E15" s="4" t="s">
        <v>2585</v>
      </c>
    </row>
    <row r="16" customFormat="false" ht="15" hidden="false" customHeight="false" outlineLevel="0" collapsed="false">
      <c r="A16" s="4" t="n">
        <v>1912</v>
      </c>
      <c r="B16" s="4" t="s">
        <v>2586</v>
      </c>
      <c r="C16" s="4" t="s">
        <v>2542</v>
      </c>
      <c r="D16" s="12" t="s">
        <v>2587</v>
      </c>
      <c r="E16" s="4" t="s">
        <v>2588</v>
      </c>
    </row>
    <row r="17" customFormat="false" ht="35.05" hidden="false" customHeight="false" outlineLevel="0" collapsed="false">
      <c r="A17" s="4" t="n">
        <v>1912</v>
      </c>
      <c r="B17" s="4" t="s">
        <v>2589</v>
      </c>
      <c r="C17" s="4" t="s">
        <v>2590</v>
      </c>
      <c r="D17" s="12" t="s">
        <v>2591</v>
      </c>
      <c r="E17" s="4" t="s">
        <v>2592</v>
      </c>
    </row>
    <row r="18" customFormat="false" ht="35.05" hidden="false" customHeight="false" outlineLevel="0" collapsed="false">
      <c r="A18" s="4" t="n">
        <v>1918</v>
      </c>
      <c r="B18" s="4" t="s">
        <v>2593</v>
      </c>
      <c r="C18" s="4" t="s">
        <v>2590</v>
      </c>
      <c r="D18" s="12" t="s">
        <v>2594</v>
      </c>
      <c r="E18" s="4" t="s">
        <v>2595</v>
      </c>
    </row>
    <row r="19" customFormat="false" ht="23.85" hidden="false" customHeight="false" outlineLevel="0" collapsed="false">
      <c r="A19" s="4" t="n">
        <v>1919</v>
      </c>
      <c r="B19" s="4" t="s">
        <v>2596</v>
      </c>
      <c r="C19" s="4" t="s">
        <v>2597</v>
      </c>
      <c r="D19" s="12" t="s">
        <v>2598</v>
      </c>
      <c r="E19" s="4" t="s">
        <v>2599</v>
      </c>
    </row>
    <row r="20" customFormat="false" ht="46.25" hidden="false" customHeight="false" outlineLevel="0" collapsed="false">
      <c r="A20" s="4" t="n">
        <v>1924</v>
      </c>
      <c r="B20" s="4" t="s">
        <v>2600</v>
      </c>
      <c r="C20" s="4" t="s">
        <v>2601</v>
      </c>
      <c r="D20" s="12" t="s">
        <v>2602</v>
      </c>
      <c r="E20" s="4" t="s">
        <v>2603</v>
      </c>
    </row>
    <row r="21" customFormat="false" ht="23.85" hidden="false" customHeight="false" outlineLevel="0" collapsed="false">
      <c r="A21" s="4" t="n">
        <v>1924</v>
      </c>
      <c r="B21" s="4" t="s">
        <v>2604</v>
      </c>
      <c r="C21" s="4" t="s">
        <v>2571</v>
      </c>
      <c r="D21" s="12" t="s">
        <v>2605</v>
      </c>
      <c r="E21" s="4" t="s">
        <v>2573</v>
      </c>
    </row>
    <row r="22" customFormat="false" ht="15" hidden="false" customHeight="false" outlineLevel="0" collapsed="false">
      <c r="A22" s="4" t="n">
        <v>1936</v>
      </c>
      <c r="B22" s="4" t="s">
        <v>2606</v>
      </c>
      <c r="C22" s="4" t="s">
        <v>2558</v>
      </c>
      <c r="D22" s="12" t="s">
        <v>2607</v>
      </c>
      <c r="E22" s="4" t="s">
        <v>2560</v>
      </c>
    </row>
    <row r="23" customFormat="false" ht="15" hidden="false" customHeight="false" outlineLevel="0" collapsed="false">
      <c r="A23" s="4" t="n">
        <v>1936</v>
      </c>
      <c r="B23" s="4" t="s">
        <v>2608</v>
      </c>
      <c r="C23" s="4" t="s">
        <v>2609</v>
      </c>
      <c r="D23" s="12" t="s">
        <v>2610</v>
      </c>
      <c r="E23" s="4" t="s">
        <v>2560</v>
      </c>
    </row>
    <row r="24" customFormat="false" ht="15" hidden="false" customHeight="false" outlineLevel="0" collapsed="false">
      <c r="A24" s="4" t="n">
        <v>1940</v>
      </c>
      <c r="B24" s="4" t="s">
        <v>2611</v>
      </c>
      <c r="C24" s="4" t="s">
        <v>2542</v>
      </c>
      <c r="D24" s="12" t="s">
        <v>2612</v>
      </c>
      <c r="E24" s="4" t="s">
        <v>2613</v>
      </c>
    </row>
    <row r="25" customFormat="false" ht="15" hidden="false" customHeight="false" outlineLevel="0" collapsed="false">
      <c r="A25" s="4" t="n">
        <v>1940</v>
      </c>
      <c r="B25" s="4" t="s">
        <v>2614</v>
      </c>
      <c r="C25" s="4" t="s">
        <v>2615</v>
      </c>
      <c r="D25" s="12" t="s">
        <v>2616</v>
      </c>
      <c r="E25" s="4" t="s">
        <v>2617</v>
      </c>
    </row>
    <row r="26" customFormat="false" ht="15" hidden="false" customHeight="false" outlineLevel="0" collapsed="false">
      <c r="A26" s="4" t="n">
        <v>1942</v>
      </c>
      <c r="B26" s="4" t="s">
        <v>2618</v>
      </c>
      <c r="C26" s="4" t="s">
        <v>2619</v>
      </c>
      <c r="D26" s="12" t="s">
        <v>2620</v>
      </c>
      <c r="E26" s="4" t="s">
        <v>2552</v>
      </c>
    </row>
    <row r="27" customFormat="false" ht="15" hidden="false" customHeight="false" outlineLevel="0" collapsed="false">
      <c r="A27" s="4" t="n">
        <v>1942</v>
      </c>
      <c r="B27" s="4" t="s">
        <v>2621</v>
      </c>
      <c r="C27" s="4" t="s">
        <v>2622</v>
      </c>
      <c r="D27" s="12" t="s">
        <v>2623</v>
      </c>
      <c r="E27" s="4" t="s">
        <v>2540</v>
      </c>
    </row>
    <row r="28" customFormat="false" ht="15" hidden="false" customHeight="false" outlineLevel="0" collapsed="false">
      <c r="A28" s="4" t="n">
        <v>1943</v>
      </c>
      <c r="B28" s="4" t="s">
        <v>2624</v>
      </c>
      <c r="C28" s="4" t="s">
        <v>2542</v>
      </c>
      <c r="D28" s="12" t="s">
        <v>2612</v>
      </c>
      <c r="E28" s="4" t="s">
        <v>2613</v>
      </c>
    </row>
    <row r="29" customFormat="false" ht="15" hidden="false" customHeight="false" outlineLevel="0" collapsed="false">
      <c r="A29" s="4" t="n">
        <v>1943</v>
      </c>
      <c r="B29" s="4" t="s">
        <v>2625</v>
      </c>
      <c r="C29" s="4" t="s">
        <v>2542</v>
      </c>
      <c r="D29" s="12" t="s">
        <v>2626</v>
      </c>
      <c r="E29" s="4" t="s">
        <v>2613</v>
      </c>
    </row>
    <row r="30" customFormat="false" ht="15" hidden="false" customHeight="false" outlineLevel="0" collapsed="false">
      <c r="A30" s="4" t="n">
        <v>1944</v>
      </c>
      <c r="B30" s="4" t="s">
        <v>2627</v>
      </c>
      <c r="C30" s="4" t="s">
        <v>2619</v>
      </c>
      <c r="D30" s="12" t="s">
        <v>2620</v>
      </c>
      <c r="E30" s="4" t="s">
        <v>2552</v>
      </c>
    </row>
    <row r="31" customFormat="false" ht="15" hidden="false" customHeight="false" outlineLevel="0" collapsed="false">
      <c r="A31" s="4" t="n">
        <v>1944</v>
      </c>
      <c r="B31" s="4" t="s">
        <v>2628</v>
      </c>
      <c r="C31" s="4" t="s">
        <v>2629</v>
      </c>
      <c r="D31" s="12" t="s">
        <v>2630</v>
      </c>
      <c r="E31" s="4" t="s">
        <v>2552</v>
      </c>
    </row>
    <row r="32" customFormat="false" ht="15" hidden="false" customHeight="false" outlineLevel="0" collapsed="false">
      <c r="A32" s="4" t="n">
        <v>1944</v>
      </c>
      <c r="B32" s="4" t="s">
        <v>2631</v>
      </c>
      <c r="C32" s="4" t="s">
        <v>2542</v>
      </c>
      <c r="D32" s="12" t="s">
        <v>2626</v>
      </c>
      <c r="E32" s="4" t="s">
        <v>2613</v>
      </c>
    </row>
    <row r="33" customFormat="false" ht="23.85" hidden="false" customHeight="false" outlineLevel="0" collapsed="false">
      <c r="A33" s="4" t="n">
        <v>1946</v>
      </c>
      <c r="B33" s="4" t="s">
        <v>2632</v>
      </c>
      <c r="C33" s="4" t="s">
        <v>2542</v>
      </c>
      <c r="D33" s="12" t="s">
        <v>2626</v>
      </c>
      <c r="E33" s="4" t="s">
        <v>2613</v>
      </c>
    </row>
    <row r="34" customFormat="false" ht="15" hidden="false" customHeight="false" outlineLevel="0" collapsed="false">
      <c r="A34" s="4" t="n">
        <v>1946</v>
      </c>
      <c r="B34" s="4" t="s">
        <v>2633</v>
      </c>
      <c r="C34" s="4" t="s">
        <v>2634</v>
      </c>
      <c r="D34" s="12" t="s">
        <v>2635</v>
      </c>
      <c r="E34" s="4" t="s">
        <v>2552</v>
      </c>
    </row>
    <row r="35" customFormat="false" ht="23.85" hidden="false" customHeight="false" outlineLevel="0" collapsed="false">
      <c r="A35" s="4" t="n">
        <v>1947</v>
      </c>
      <c r="B35" s="4" t="s">
        <v>2636</v>
      </c>
      <c r="C35" s="4" t="s">
        <v>2637</v>
      </c>
      <c r="D35" s="12" t="s">
        <v>2638</v>
      </c>
      <c r="E35" s="4" t="s">
        <v>2639</v>
      </c>
    </row>
    <row r="36" customFormat="false" ht="15" hidden="false" customHeight="false" outlineLevel="0" collapsed="false">
      <c r="A36" s="4" t="n">
        <v>1958</v>
      </c>
      <c r="B36" s="4" t="s">
        <v>2640</v>
      </c>
      <c r="C36" s="4" t="s">
        <v>2558</v>
      </c>
      <c r="D36" s="12" t="s">
        <v>2641</v>
      </c>
      <c r="E36" s="4" t="s">
        <v>2560</v>
      </c>
    </row>
    <row r="37" customFormat="false" ht="15" hidden="false" customHeight="false" outlineLevel="0" collapsed="false">
      <c r="A37" s="4" t="n">
        <v>1958</v>
      </c>
      <c r="B37" s="4" t="s">
        <v>2642</v>
      </c>
      <c r="C37" s="4" t="s">
        <v>2643</v>
      </c>
      <c r="D37" s="12" t="s">
        <v>2644</v>
      </c>
      <c r="E37" s="4" t="s">
        <v>2617</v>
      </c>
    </row>
    <row r="38" customFormat="false" ht="23.85" hidden="false" customHeight="false" outlineLevel="0" collapsed="false">
      <c r="A38" s="4" t="s">
        <v>2645</v>
      </c>
      <c r="B38" s="4" t="s">
        <v>2646</v>
      </c>
      <c r="C38" s="4" t="s">
        <v>2647</v>
      </c>
      <c r="D38" s="12"/>
      <c r="E38" s="4" t="s">
        <v>2648</v>
      </c>
    </row>
  </sheetData>
  <hyperlinks>
    <hyperlink ref="D2" r:id="rId1" display="https://transitmap.net/store/product/1880-washington-dc/"/>
    <hyperlink ref="D3" r:id="rId2" display="https://www.loc.gov/resource/g3851fm.gct00015/?sp=11"/>
    <hyperlink ref="D4" r:id="rId3" display="https://53studio.com/"/>
    <hyperlink ref="D5" r:id="rId4" display="https://storymaps.arcgis.com/stories/d421c20521214832ac661b11a9ec3958"/>
    <hyperlink ref="D6" r:id="rId5" display="https://ggwash.org/view/29893/see-all-historic-dc-area-trolley-routes-on-one-map"/>
    <hyperlink ref="D7" r:id="rId6" display="https://transitmap.net/dc-streetcars-1891/"/>
    <hyperlink ref="D8" r:id="rId7" display="https://www.loc.gov/item/90685664/"/>
    <hyperlink ref="D9" r:id="rId8" display="https://www.loc.gov/item/87693024"/>
    <hyperlink ref="D10" r:id="rId9" display="https://commons.wikimedia.org/wiki/File:Map_of_Washington,_D.C.,_and_suburbs_-_showing_the_latest_streets_and_all_the_new_railway_and_street-car_routes_LOC_88693395.jpg"/>
    <hyperlink ref="D11" r:id="rId10" display="https://collections.leventhalmap.org/search/commonwealth:4m90f386r"/>
    <hyperlink ref="D12" r:id="rId11" display="https://geo.nyu.edu/catalog/harvard-g3850-1895-r3"/>
    <hyperlink ref="D13" r:id="rId12" display="https://www.loc.gov/item/87695722/"/>
    <hyperlink ref="D14" r:id="rId13" display="https://www.loc.gov/item/91683221"/>
    <hyperlink ref="D15" r:id="rId14" display="https://www.loc.gov/item/87691460/"/>
    <hyperlink ref="D16" r:id="rId15" display="https://www.loc.gov/item/87695724"/>
    <hyperlink ref="D17" r:id="rId16" display="https://www.govinfo.gov/app/details/SERIALSET-06181_00_00-076-0441-0000"/>
    <hyperlink ref="D18" r:id="rId17" display="https://www.govinfo.gov/app/details/SERIALSET-07323_00_00-002-0197-0000"/>
    <hyperlink ref="D19" r:id="rId18" display="https://umedia.lib.umn.edu/item/p16022coll230:1489"/>
    <hyperlink ref="D20" r:id="rId19" display="https://www.davidrumsey.com/"/>
    <hyperlink ref="D21" r:id="rId20" display="https://collections.leventhalmap.org/search/commonwealth:r494z3573"/>
    <hyperlink ref="D22" r:id="rId21" display="https://transitmap.net/dc-streetcars-1936/"/>
    <hyperlink ref="D23" r:id="rId22" display="https://ghostsofdc.org/2013/01/29/new-1936-streetcar-map/"/>
    <hyperlink ref="D24" r:id="rId23" display="https://www.loc.gov/maps/?fa=contributor%3Acapital+transit+company%7Clocation%3Awashington+d.c.&amp;all=true"/>
    <hyperlink ref="D25" r:id="rId24" display="https://wardmaps.com/products/capital-transit-washington-d-c-system-map-1940"/>
    <hyperlink ref="D26" r:id="rId25" display="https://ddotdc.tumblr.com/post/179456618744/a-map-showing-the-streetcar-routes-in-downtown"/>
    <hyperlink ref="D27" r:id="rId26" display="https://53studio.com/products/washington-dc-streetcar-system-map-june-1942"/>
    <hyperlink ref="D28" r:id="rId27" display="https://www.loc.gov/maps/?fa=contributor%3Acapital+transit+company%7Clocation%3Awashington+d.c.&amp;all=true"/>
    <hyperlink ref="D29" r:id="rId28" display="https://www.loc.gov/maps/?all=true&amp;fa=contributor%3Acapital+transit+company%7Csubject%3Alocal+transit%7Clocation%3Awashington+d.c."/>
    <hyperlink ref="D30" r:id="rId29" display="https://ddotdc.tumblr.com/post/179456618744/a-map-showing-the-streetcar-routes-in-downtown"/>
    <hyperlink ref="D31" r:id="rId30" display="https://ggwash.org/view/70853/check-out-this-streetcar-and-subway-map-of-washington-dc-1944"/>
    <hyperlink ref="D32" r:id="rId31" display="https://www.loc.gov/maps/?all=true&amp;fa=contributor%3Acapital+transit+company%7Csubject%3Alocal+transit%7Clocation%3Awashington+d.c."/>
    <hyperlink ref="D33" r:id="rId32" display="https://www.loc.gov/maps/?all=true&amp;fa=contributor%3Acapital+transit+company%7Csubject%3Alocal+transit%7Clocation%3Awashington+d.c."/>
    <hyperlink ref="D34" r:id="rId33" display="http://www.tundria.com/trams/USA/Washington-1946.php"/>
    <hyperlink ref="D35" r:id="rId34" display="https://commons.wikimedia.org/wiki/File:Guide_map._Capital_transit._Street_car_and_bus_lines._Washington._5.000_feet_-_btv1b531895914_(1_of_2).jpg"/>
    <hyperlink ref="D36" r:id="rId35" display="https://transitmap.net/washington-dc-trackage-1958/"/>
    <hyperlink ref="D37" r:id="rId36" display="https://www.ebay.de/itm/14682762114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7"/>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10"/>
  </cols>
  <sheetData>
    <row r="1" customFormat="false" ht="15" hidden="false" customHeight="false" outlineLevel="0" collapsed="false">
      <c r="A1" s="11" t="s">
        <v>2649</v>
      </c>
      <c r="B1" s="11" t="s">
        <v>2650</v>
      </c>
      <c r="C1" s="11" t="s">
        <v>2651</v>
      </c>
    </row>
    <row r="2" customFormat="false" ht="15" hidden="false" customHeight="false" outlineLevel="0" collapsed="false">
      <c r="A2" s="4" t="s">
        <v>2652</v>
      </c>
      <c r="B2" s="4" t="s">
        <v>2653</v>
      </c>
      <c r="C2" s="4" t="s">
        <v>2654</v>
      </c>
    </row>
    <row r="3" customFormat="false" ht="15" hidden="false" customHeight="false" outlineLevel="0" collapsed="false">
      <c r="A3" s="4" t="s">
        <v>2652</v>
      </c>
      <c r="B3" s="4" t="s">
        <v>2655</v>
      </c>
      <c r="C3" s="4" t="s">
        <v>2656</v>
      </c>
    </row>
    <row r="4" customFormat="false" ht="15" hidden="false" customHeight="false" outlineLevel="0" collapsed="false">
      <c r="A4" s="4" t="s">
        <v>2652</v>
      </c>
      <c r="B4" s="4" t="s">
        <v>2657</v>
      </c>
      <c r="C4" s="4" t="s">
        <v>2658</v>
      </c>
    </row>
    <row r="5" customFormat="false" ht="15" hidden="false" customHeight="false" outlineLevel="0" collapsed="false">
      <c r="A5" s="4" t="s">
        <v>2652</v>
      </c>
      <c r="B5" s="4" t="s">
        <v>2659</v>
      </c>
      <c r="C5" s="4" t="s">
        <v>2660</v>
      </c>
    </row>
    <row r="6" customFormat="false" ht="15" hidden="false" customHeight="false" outlineLevel="0" collapsed="false">
      <c r="A6" s="4" t="s">
        <v>2652</v>
      </c>
      <c r="B6" s="4" t="s">
        <v>2661</v>
      </c>
      <c r="C6" s="4" t="s">
        <v>2662</v>
      </c>
    </row>
    <row r="7" customFormat="false" ht="15" hidden="false" customHeight="false" outlineLevel="0" collapsed="false">
      <c r="A7" s="4" t="s">
        <v>2652</v>
      </c>
      <c r="B7" s="4" t="s">
        <v>2663</v>
      </c>
      <c r="C7" s="4" t="s">
        <v>2664</v>
      </c>
    </row>
    <row r="8" customFormat="false" ht="15" hidden="false" customHeight="false" outlineLevel="0" collapsed="false">
      <c r="A8" s="4" t="s">
        <v>2652</v>
      </c>
      <c r="B8" s="4" t="s">
        <v>2665</v>
      </c>
      <c r="C8" s="4" t="s">
        <v>2666</v>
      </c>
    </row>
    <row r="9" customFormat="false" ht="15" hidden="false" customHeight="false" outlineLevel="0" collapsed="false">
      <c r="A9" s="4" t="s">
        <v>2652</v>
      </c>
      <c r="B9" s="4" t="s">
        <v>2667</v>
      </c>
      <c r="C9" s="4" t="s">
        <v>2668</v>
      </c>
    </row>
    <row r="10" customFormat="false" ht="15" hidden="false" customHeight="false" outlineLevel="0" collapsed="false">
      <c r="A10" s="4" t="s">
        <v>2652</v>
      </c>
      <c r="B10" s="4" t="s">
        <v>2669</v>
      </c>
      <c r="C10" s="4" t="s">
        <v>2670</v>
      </c>
    </row>
    <row r="11" customFormat="false" ht="15" hidden="false" customHeight="false" outlineLevel="0" collapsed="false">
      <c r="A11" s="4" t="s">
        <v>2652</v>
      </c>
      <c r="B11" s="4" t="s">
        <v>2671</v>
      </c>
      <c r="C11" s="4" t="s">
        <v>2672</v>
      </c>
    </row>
    <row r="12" customFormat="false" ht="15" hidden="false" customHeight="false" outlineLevel="0" collapsed="false">
      <c r="A12" s="4" t="s">
        <v>2652</v>
      </c>
      <c r="B12" s="4" t="s">
        <v>2673</v>
      </c>
      <c r="C12" s="4" t="s">
        <v>2674</v>
      </c>
    </row>
    <row r="13" customFormat="false" ht="15" hidden="false" customHeight="false" outlineLevel="0" collapsed="false">
      <c r="A13" s="4" t="s">
        <v>2652</v>
      </c>
      <c r="B13" s="4" t="s">
        <v>2675</v>
      </c>
      <c r="C13" s="4" t="s">
        <v>2676</v>
      </c>
    </row>
    <row r="14" customFormat="false" ht="15" hidden="false" customHeight="false" outlineLevel="0" collapsed="false">
      <c r="A14" s="4" t="s">
        <v>2677</v>
      </c>
      <c r="B14" s="4" t="s">
        <v>174</v>
      </c>
      <c r="C14" s="4" t="s">
        <v>2678</v>
      </c>
    </row>
    <row r="15" customFormat="false" ht="15" hidden="false" customHeight="false" outlineLevel="0" collapsed="false">
      <c r="A15" s="4" t="s">
        <v>2677</v>
      </c>
      <c r="B15" s="4" t="s">
        <v>2679</v>
      </c>
      <c r="C15" s="4" t="s">
        <v>2680</v>
      </c>
    </row>
    <row r="16" customFormat="false" ht="35.05" hidden="false" customHeight="false" outlineLevel="0" collapsed="false">
      <c r="A16" s="4" t="s">
        <v>2681</v>
      </c>
      <c r="B16" s="4" t="s">
        <v>2682</v>
      </c>
      <c r="C16" s="4" t="s">
        <v>2683</v>
      </c>
    </row>
    <row r="17" customFormat="false" ht="15" hidden="false" customHeight="false" outlineLevel="0" collapsed="false">
      <c r="A17" s="4" t="s">
        <v>2684</v>
      </c>
      <c r="B17" s="4" t="s">
        <v>2685</v>
      </c>
      <c r="C17" s="4" t="s">
        <v>2686</v>
      </c>
    </row>
    <row r="18" customFormat="false" ht="15" hidden="false" customHeight="false" outlineLevel="0" collapsed="false">
      <c r="A18" s="4" t="s">
        <v>2684</v>
      </c>
      <c r="B18" s="4" t="s">
        <v>2687</v>
      </c>
      <c r="C18" s="4" t="s">
        <v>2688</v>
      </c>
    </row>
    <row r="19" customFormat="false" ht="23.85" hidden="false" customHeight="false" outlineLevel="0" collapsed="false">
      <c r="A19" s="4" t="s">
        <v>2689</v>
      </c>
      <c r="B19" s="4" t="s">
        <v>2690</v>
      </c>
      <c r="C19" s="4" t="s">
        <v>2691</v>
      </c>
    </row>
    <row r="20" customFormat="false" ht="15" hidden="false" customHeight="false" outlineLevel="0" collapsed="false">
      <c r="A20" s="4" t="s">
        <v>2692</v>
      </c>
      <c r="B20" s="4" t="s">
        <v>2693</v>
      </c>
      <c r="C20" s="4" t="s">
        <v>2694</v>
      </c>
    </row>
    <row r="21" customFormat="false" ht="15" hidden="false" customHeight="false" outlineLevel="0" collapsed="false">
      <c r="A21" s="4" t="s">
        <v>2692</v>
      </c>
      <c r="B21" s="4" t="s">
        <v>2695</v>
      </c>
      <c r="C21" s="4" t="s">
        <v>2696</v>
      </c>
    </row>
    <row r="22" customFormat="false" ht="15" hidden="false" customHeight="false" outlineLevel="0" collapsed="false">
      <c r="A22" s="4" t="s">
        <v>2677</v>
      </c>
      <c r="B22" s="4" t="s">
        <v>2697</v>
      </c>
      <c r="C22" s="4" t="s">
        <v>2698</v>
      </c>
    </row>
    <row r="23" customFormat="false" ht="15" hidden="false" customHeight="false" outlineLevel="0" collapsed="false">
      <c r="A23" s="4" t="s">
        <v>2677</v>
      </c>
      <c r="B23" s="4" t="s">
        <v>595</v>
      </c>
      <c r="C23" s="4" t="s">
        <v>2699</v>
      </c>
    </row>
    <row r="24" customFormat="false" ht="35.05" hidden="false" customHeight="false" outlineLevel="0" collapsed="false">
      <c r="A24" s="4" t="s">
        <v>2700</v>
      </c>
      <c r="B24" s="4" t="s">
        <v>2701</v>
      </c>
      <c r="C24" s="4" t="s">
        <v>2702</v>
      </c>
    </row>
    <row r="25" customFormat="false" ht="23.85" hidden="false" customHeight="false" outlineLevel="0" collapsed="false">
      <c r="A25" s="4" t="s">
        <v>2700</v>
      </c>
      <c r="B25" s="4" t="s">
        <v>2703</v>
      </c>
      <c r="C25" s="4" t="s">
        <v>2704</v>
      </c>
    </row>
    <row r="26" customFormat="false" ht="23.85" hidden="false" customHeight="false" outlineLevel="0" collapsed="false">
      <c r="A26" s="4" t="s">
        <v>2700</v>
      </c>
      <c r="B26" s="4" t="s">
        <v>2705</v>
      </c>
      <c r="C26" s="4" t="s">
        <v>2706</v>
      </c>
    </row>
    <row r="27" customFormat="false" ht="15" hidden="false" customHeight="false" outlineLevel="0" collapsed="false">
      <c r="A27" s="4" t="s">
        <v>2652</v>
      </c>
      <c r="B27" s="4" t="s">
        <v>2707</v>
      </c>
      <c r="C27" s="4" t="s">
        <v>2708</v>
      </c>
    </row>
    <row r="28" customFormat="false" ht="15" hidden="false" customHeight="false" outlineLevel="0" collapsed="false">
      <c r="A28" s="4" t="s">
        <v>2652</v>
      </c>
      <c r="B28" s="4" t="s">
        <v>2709</v>
      </c>
      <c r="C28" s="4" t="s">
        <v>2710</v>
      </c>
    </row>
    <row r="29" customFormat="false" ht="15" hidden="false" customHeight="false" outlineLevel="0" collapsed="false">
      <c r="A29" s="4" t="s">
        <v>2652</v>
      </c>
      <c r="B29" s="4" t="s">
        <v>2711</v>
      </c>
      <c r="C29" s="4" t="s">
        <v>2712</v>
      </c>
    </row>
    <row r="30" customFormat="false" ht="15" hidden="false" customHeight="false" outlineLevel="0" collapsed="false">
      <c r="A30" s="4" t="s">
        <v>2652</v>
      </c>
      <c r="B30" s="4" t="s">
        <v>2713</v>
      </c>
      <c r="C30" s="4" t="s">
        <v>2714</v>
      </c>
    </row>
    <row r="31" customFormat="false" ht="23.85" hidden="false" customHeight="false" outlineLevel="0" collapsed="false">
      <c r="A31" s="4" t="s">
        <v>2677</v>
      </c>
      <c r="B31" s="4" t="s">
        <v>2715</v>
      </c>
      <c r="C31" s="4" t="s">
        <v>2716</v>
      </c>
    </row>
    <row r="32" customFormat="false" ht="15" hidden="false" customHeight="false" outlineLevel="0" collapsed="false">
      <c r="A32" s="4" t="s">
        <v>2677</v>
      </c>
      <c r="B32" s="4" t="s">
        <v>2717</v>
      </c>
      <c r="C32" s="4" t="s">
        <v>2718</v>
      </c>
    </row>
    <row r="33" customFormat="false" ht="23.85" hidden="false" customHeight="false" outlineLevel="0" collapsed="false">
      <c r="A33" s="4" t="s">
        <v>2719</v>
      </c>
      <c r="B33" s="4" t="s">
        <v>2720</v>
      </c>
      <c r="C33" s="4" t="s">
        <v>2721</v>
      </c>
    </row>
    <row r="34" customFormat="false" ht="15" hidden="false" customHeight="false" outlineLevel="0" collapsed="false">
      <c r="A34" s="4" t="s">
        <v>2719</v>
      </c>
      <c r="B34" s="4" t="s">
        <v>2722</v>
      </c>
      <c r="C34" s="4" t="s">
        <v>2723</v>
      </c>
    </row>
    <row r="35" customFormat="false" ht="46.25" hidden="false" customHeight="false" outlineLevel="0" collapsed="false">
      <c r="A35" s="4" t="s">
        <v>2724</v>
      </c>
      <c r="B35" s="4" t="s">
        <v>2725</v>
      </c>
      <c r="C35" s="4" t="s">
        <v>2726</v>
      </c>
    </row>
    <row r="36" customFormat="false" ht="23.85" hidden="false" customHeight="false" outlineLevel="0" collapsed="false">
      <c r="A36" s="4" t="s">
        <v>2727</v>
      </c>
      <c r="B36" s="4" t="s">
        <v>2728</v>
      </c>
      <c r="C36" s="4" t="s">
        <v>2729</v>
      </c>
    </row>
    <row r="37" customFormat="false" ht="23.85" hidden="false" customHeight="false" outlineLevel="0" collapsed="false">
      <c r="A37" s="4" t="s">
        <v>2684</v>
      </c>
      <c r="B37" s="4" t="s">
        <v>2730</v>
      </c>
      <c r="C37" s="4" t="s">
        <v>2731</v>
      </c>
    </row>
    <row r="38" customFormat="false" ht="15" hidden="false" customHeight="false" outlineLevel="0" collapsed="false">
      <c r="A38" s="4" t="s">
        <v>2684</v>
      </c>
      <c r="B38" s="4" t="s">
        <v>2732</v>
      </c>
      <c r="C38" s="4" t="s">
        <v>2733</v>
      </c>
    </row>
    <row r="39" customFormat="false" ht="23.85" hidden="false" customHeight="false" outlineLevel="0" collapsed="false">
      <c r="A39" s="4" t="s">
        <v>2684</v>
      </c>
      <c r="B39" s="4" t="s">
        <v>2734</v>
      </c>
      <c r="C39" s="4" t="s">
        <v>2735</v>
      </c>
    </row>
    <row r="40" customFormat="false" ht="35.05" hidden="false" customHeight="false" outlineLevel="0" collapsed="false">
      <c r="A40" s="4" t="s">
        <v>2677</v>
      </c>
      <c r="B40" s="4" t="s">
        <v>2736</v>
      </c>
      <c r="C40" s="4" t="s">
        <v>2737</v>
      </c>
    </row>
    <row r="41" customFormat="false" ht="23.85" hidden="false" customHeight="false" outlineLevel="0" collapsed="false">
      <c r="A41" s="4" t="s">
        <v>2677</v>
      </c>
      <c r="B41" s="4" t="s">
        <v>2738</v>
      </c>
      <c r="C41" s="4" t="s">
        <v>2739</v>
      </c>
    </row>
    <row r="42" customFormat="false" ht="35.05" hidden="false" customHeight="false" outlineLevel="0" collapsed="false">
      <c r="A42" s="4" t="s">
        <v>2677</v>
      </c>
      <c r="B42" s="4" t="s">
        <v>2740</v>
      </c>
      <c r="C42" s="4" t="s">
        <v>2741</v>
      </c>
    </row>
    <row r="43" customFormat="false" ht="23.85" hidden="false" customHeight="false" outlineLevel="0" collapsed="false">
      <c r="A43" s="4" t="s">
        <v>2652</v>
      </c>
      <c r="B43" s="4" t="s">
        <v>2742</v>
      </c>
      <c r="C43" s="4" t="s">
        <v>2743</v>
      </c>
    </row>
    <row r="44" customFormat="false" ht="23.85" hidden="false" customHeight="false" outlineLevel="0" collapsed="false">
      <c r="A44" s="4" t="s">
        <v>2652</v>
      </c>
      <c r="B44" s="4" t="s">
        <v>2744</v>
      </c>
      <c r="C44" s="4" t="s">
        <v>2745</v>
      </c>
    </row>
    <row r="45" customFormat="false" ht="15" hidden="false" customHeight="false" outlineLevel="0" collapsed="false">
      <c r="A45" s="4" t="s">
        <v>2684</v>
      </c>
      <c r="B45" s="4" t="s">
        <v>2746</v>
      </c>
      <c r="C45" s="4" t="s">
        <v>2747</v>
      </c>
    </row>
    <row r="46" customFormat="false" ht="15" hidden="false" customHeight="false" outlineLevel="0" collapsed="false">
      <c r="A46" s="4" t="s">
        <v>2684</v>
      </c>
      <c r="B46" s="4" t="s">
        <v>2748</v>
      </c>
      <c r="C46" s="4" t="s">
        <v>2749</v>
      </c>
    </row>
    <row r="47" customFormat="false" ht="15" hidden="false" customHeight="false" outlineLevel="0" collapsed="false">
      <c r="A47" s="4" t="s">
        <v>2684</v>
      </c>
      <c r="B47" s="4" t="s">
        <v>2750</v>
      </c>
      <c r="C47" s="4" t="s">
        <v>2751</v>
      </c>
    </row>
    <row r="48" customFormat="false" ht="23.85" hidden="false" customHeight="false" outlineLevel="0" collapsed="false">
      <c r="A48" s="4" t="s">
        <v>2752</v>
      </c>
      <c r="B48" s="4" t="s">
        <v>2753</v>
      </c>
      <c r="C48" s="4" t="s">
        <v>2754</v>
      </c>
    </row>
    <row r="49" customFormat="false" ht="15" hidden="false" customHeight="false" outlineLevel="0" collapsed="false">
      <c r="A49" s="4" t="s">
        <v>2752</v>
      </c>
      <c r="B49" s="4" t="s">
        <v>2755</v>
      </c>
      <c r="C49" s="4" t="s">
        <v>2756</v>
      </c>
    </row>
    <row r="50" customFormat="false" ht="35.05" hidden="false" customHeight="false" outlineLevel="0" collapsed="false">
      <c r="A50" s="4" t="s">
        <v>2757</v>
      </c>
      <c r="B50" s="4" t="s">
        <v>2758</v>
      </c>
      <c r="C50" s="4" t="s">
        <v>2759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0"/>
    <col collapsed="false" customWidth="true" hidden="false" outlineLevel="0" max="3" min="3" style="0" width="60"/>
    <col collapsed="false" customWidth="true" hidden="false" outlineLevel="0" max="4" min="4" style="0" width="50"/>
  </cols>
  <sheetData>
    <row r="1" customFormat="false" ht="15" hidden="false" customHeight="false" outlineLevel="0" collapsed="false">
      <c r="A1" s="11" t="s">
        <v>2760</v>
      </c>
      <c r="B1" s="11" t="s">
        <v>2727</v>
      </c>
      <c r="C1" s="11" t="s">
        <v>2535</v>
      </c>
      <c r="D1" s="11" t="s">
        <v>2761</v>
      </c>
    </row>
    <row r="2" customFormat="false" ht="23.85" hidden="false" customHeight="false" outlineLevel="0" collapsed="false">
      <c r="A2" s="4" t="s">
        <v>2762</v>
      </c>
      <c r="B2" s="4" t="s">
        <v>2763</v>
      </c>
      <c r="C2" s="12" t="s">
        <v>2764</v>
      </c>
      <c r="D2" s="4" t="s">
        <v>2765</v>
      </c>
    </row>
    <row r="3" customFormat="false" ht="23.85" hidden="false" customHeight="false" outlineLevel="0" collapsed="false">
      <c r="A3" s="4" t="s">
        <v>402</v>
      </c>
      <c r="B3" s="4" t="s">
        <v>2766</v>
      </c>
      <c r="C3" s="12" t="s">
        <v>2767</v>
      </c>
      <c r="D3" s="4" t="s">
        <v>2768</v>
      </c>
    </row>
    <row r="4" customFormat="false" ht="23.85" hidden="false" customHeight="false" outlineLevel="0" collapsed="false">
      <c r="A4" s="4" t="s">
        <v>2769</v>
      </c>
      <c r="B4" s="4" t="s">
        <v>2770</v>
      </c>
      <c r="C4" s="12" t="s">
        <v>2771</v>
      </c>
      <c r="D4" s="4" t="s">
        <v>2772</v>
      </c>
    </row>
    <row r="5" customFormat="false" ht="15" hidden="false" customHeight="false" outlineLevel="0" collapsed="false">
      <c r="A5" s="4" t="s">
        <v>421</v>
      </c>
      <c r="B5" s="4" t="s">
        <v>2773</v>
      </c>
      <c r="C5" s="12" t="s">
        <v>2774</v>
      </c>
      <c r="D5" s="4" t="s">
        <v>2775</v>
      </c>
    </row>
    <row r="6" customFormat="false" ht="15" hidden="false" customHeight="false" outlineLevel="0" collapsed="false">
      <c r="A6" s="4" t="s">
        <v>649</v>
      </c>
      <c r="B6" s="4" t="s">
        <v>2776</v>
      </c>
      <c r="C6" s="12" t="s">
        <v>2777</v>
      </c>
      <c r="D6" s="4" t="s">
        <v>2778</v>
      </c>
    </row>
    <row r="7" customFormat="false" ht="15" hidden="false" customHeight="false" outlineLevel="0" collapsed="false">
      <c r="A7" s="4" t="s">
        <v>2220</v>
      </c>
      <c r="B7" s="4" t="s">
        <v>2779</v>
      </c>
      <c r="C7" s="12" t="s">
        <v>2610</v>
      </c>
      <c r="D7" s="4" t="s">
        <v>2780</v>
      </c>
    </row>
    <row r="8" customFormat="false" ht="15" hidden="false" customHeight="false" outlineLevel="0" collapsed="false">
      <c r="A8" s="4" t="s">
        <v>2781</v>
      </c>
      <c r="B8" s="4" t="s">
        <v>2782</v>
      </c>
      <c r="C8" s="12" t="s">
        <v>2783</v>
      </c>
      <c r="D8" s="4" t="s">
        <v>2784</v>
      </c>
    </row>
    <row r="9" customFormat="false" ht="23.85" hidden="false" customHeight="false" outlineLevel="0" collapsed="false">
      <c r="A9" s="4" t="s">
        <v>1668</v>
      </c>
      <c r="B9" s="4" t="s">
        <v>2785</v>
      </c>
      <c r="C9" s="12" t="s">
        <v>2786</v>
      </c>
      <c r="D9" s="4" t="s">
        <v>2787</v>
      </c>
    </row>
    <row r="10" customFormat="false" ht="23.85" hidden="false" customHeight="false" outlineLevel="0" collapsed="false">
      <c r="A10" s="4" t="s">
        <v>2788</v>
      </c>
      <c r="B10" s="4" t="s">
        <v>2789</v>
      </c>
      <c r="C10" s="12" t="s">
        <v>2790</v>
      </c>
      <c r="D10" s="4" t="s">
        <v>2791</v>
      </c>
    </row>
    <row r="11" customFormat="false" ht="23.85" hidden="false" customHeight="false" outlineLevel="0" collapsed="false">
      <c r="A11" s="4" t="s">
        <v>476</v>
      </c>
      <c r="B11" s="4" t="s">
        <v>2792</v>
      </c>
      <c r="C11" s="12" t="s">
        <v>2793</v>
      </c>
      <c r="D11" s="4" t="s">
        <v>2794</v>
      </c>
    </row>
    <row r="12" customFormat="false" ht="15" hidden="false" customHeight="false" outlineLevel="0" collapsed="false">
      <c r="A12" s="4" t="s">
        <v>1639</v>
      </c>
      <c r="B12" s="4" t="s">
        <v>2795</v>
      </c>
      <c r="C12" s="12" t="s">
        <v>2796</v>
      </c>
      <c r="D12" s="4"/>
    </row>
    <row r="13" customFormat="false" ht="23.85" hidden="false" customHeight="false" outlineLevel="0" collapsed="false">
      <c r="A13" s="4" t="s">
        <v>1631</v>
      </c>
      <c r="B13" s="4" t="s">
        <v>2797</v>
      </c>
      <c r="C13" s="12" t="s">
        <v>2798</v>
      </c>
      <c r="D13" s="4" t="s">
        <v>2799</v>
      </c>
    </row>
    <row r="14" customFormat="false" ht="15" hidden="false" customHeight="false" outlineLevel="0" collapsed="false">
      <c r="A14" s="4" t="s">
        <v>1647</v>
      </c>
      <c r="B14" s="4" t="s">
        <v>2800</v>
      </c>
      <c r="C14" s="12" t="s">
        <v>2801</v>
      </c>
      <c r="D14" s="4"/>
    </row>
    <row r="15" customFormat="false" ht="15" hidden="false" customHeight="false" outlineLevel="0" collapsed="false">
      <c r="A15" s="4" t="s">
        <v>1655</v>
      </c>
      <c r="B15" s="4" t="s">
        <v>2802</v>
      </c>
      <c r="C15" s="12" t="s">
        <v>2803</v>
      </c>
      <c r="D15" s="4"/>
    </row>
    <row r="16" customFormat="false" ht="23.85" hidden="false" customHeight="false" outlineLevel="0" collapsed="false">
      <c r="A16" s="4" t="s">
        <v>1674</v>
      </c>
      <c r="B16" s="4" t="s">
        <v>2804</v>
      </c>
      <c r="C16" s="12" t="s">
        <v>2805</v>
      </c>
      <c r="D16" s="4"/>
    </row>
    <row r="17" customFormat="false" ht="15" hidden="false" customHeight="false" outlineLevel="0" collapsed="false">
      <c r="A17" s="4" t="s">
        <v>1708</v>
      </c>
      <c r="B17" s="4" t="s">
        <v>2806</v>
      </c>
      <c r="C17" s="12" t="s">
        <v>2807</v>
      </c>
      <c r="D17" s="4"/>
    </row>
    <row r="18" customFormat="false" ht="15" hidden="false" customHeight="false" outlineLevel="0" collapsed="false">
      <c r="A18" s="4" t="s">
        <v>1695</v>
      </c>
      <c r="B18" s="4" t="s">
        <v>2808</v>
      </c>
      <c r="C18" s="12" t="s">
        <v>2809</v>
      </c>
      <c r="D18" s="4"/>
    </row>
    <row r="19" customFormat="false" ht="23.85" hidden="false" customHeight="false" outlineLevel="0" collapsed="false">
      <c r="A19" s="4" t="s">
        <v>1717</v>
      </c>
      <c r="B19" s="4" t="s">
        <v>2810</v>
      </c>
      <c r="C19" s="12" t="s">
        <v>2811</v>
      </c>
      <c r="D19" s="4"/>
    </row>
    <row r="20" customFormat="false" ht="35.05" hidden="false" customHeight="false" outlineLevel="0" collapsed="false">
      <c r="A20" s="4" t="s">
        <v>1845</v>
      </c>
      <c r="B20" s="4" t="s">
        <v>2812</v>
      </c>
      <c r="C20" s="12" t="s">
        <v>2813</v>
      </c>
      <c r="D20" s="4"/>
    </row>
    <row r="21" customFormat="false" ht="23.85" hidden="false" customHeight="false" outlineLevel="0" collapsed="false">
      <c r="A21" s="4" t="s">
        <v>1799</v>
      </c>
      <c r="B21" s="4" t="s">
        <v>2814</v>
      </c>
      <c r="C21" s="12" t="s">
        <v>2815</v>
      </c>
      <c r="D21" s="4"/>
    </row>
    <row r="22" customFormat="false" ht="15" hidden="false" customHeight="false" outlineLevel="0" collapsed="false">
      <c r="A22" s="4" t="s">
        <v>1720</v>
      </c>
      <c r="B22" s="4" t="s">
        <v>2816</v>
      </c>
      <c r="C22" s="12" t="s">
        <v>2817</v>
      </c>
      <c r="D22" s="4"/>
    </row>
    <row r="23" customFormat="false" ht="15" hidden="false" customHeight="false" outlineLevel="0" collapsed="false">
      <c r="A23" s="4" t="s">
        <v>1817</v>
      </c>
      <c r="B23" s="4" t="s">
        <v>2818</v>
      </c>
      <c r="C23" s="12" t="s">
        <v>2819</v>
      </c>
      <c r="D23" s="4"/>
    </row>
    <row r="24" customFormat="false" ht="15" hidden="false" customHeight="false" outlineLevel="0" collapsed="false">
      <c r="A24" s="4" t="s">
        <v>1923</v>
      </c>
      <c r="B24" s="4" t="s">
        <v>2820</v>
      </c>
      <c r="C24" s="12" t="s">
        <v>2821</v>
      </c>
      <c r="D24" s="4"/>
    </row>
    <row r="25" customFormat="false" ht="23.85" hidden="false" customHeight="false" outlineLevel="0" collapsed="false">
      <c r="A25" s="4" t="s">
        <v>2822</v>
      </c>
      <c r="B25" s="4" t="s">
        <v>2823</v>
      </c>
      <c r="C25" s="12" t="s">
        <v>2824</v>
      </c>
      <c r="D25" s="4" t="s">
        <v>2825</v>
      </c>
    </row>
    <row r="26" customFormat="false" ht="23.85" hidden="false" customHeight="false" outlineLevel="0" collapsed="false">
      <c r="A26" s="4" t="s">
        <v>517</v>
      </c>
      <c r="B26" s="4" t="s">
        <v>2826</v>
      </c>
      <c r="C26" s="12" t="s">
        <v>2635</v>
      </c>
      <c r="D26" s="4" t="s">
        <v>2827</v>
      </c>
    </row>
    <row r="27" customFormat="false" ht="15" hidden="false" customHeight="false" outlineLevel="0" collapsed="false">
      <c r="A27" s="4" t="s">
        <v>2828</v>
      </c>
      <c r="B27" s="4" t="s">
        <v>2829</v>
      </c>
      <c r="C27" s="12" t="s">
        <v>2543</v>
      </c>
      <c r="D27" s="4" t="s">
        <v>2830</v>
      </c>
    </row>
    <row r="28" customFormat="false" ht="15" hidden="false" customHeight="false" outlineLevel="0" collapsed="false">
      <c r="A28" s="4" t="s">
        <v>2831</v>
      </c>
      <c r="B28" s="4" t="s">
        <v>2832</v>
      </c>
      <c r="C28" s="12" t="s">
        <v>2584</v>
      </c>
      <c r="D28" s="4" t="s">
        <v>2833</v>
      </c>
    </row>
    <row r="29" customFormat="false" ht="15" hidden="false" customHeight="false" outlineLevel="0" collapsed="false">
      <c r="A29" s="4" t="s">
        <v>2834</v>
      </c>
      <c r="B29" s="4" t="s">
        <v>2835</v>
      </c>
      <c r="C29" s="12" t="s">
        <v>2602</v>
      </c>
      <c r="D29" s="4" t="s">
        <v>2830</v>
      </c>
    </row>
    <row r="30" customFormat="false" ht="23.85" hidden="false" customHeight="false" outlineLevel="0" collapsed="false">
      <c r="A30" s="4" t="s">
        <v>2836</v>
      </c>
      <c r="B30" s="4" t="s">
        <v>2837</v>
      </c>
      <c r="C30" s="12" t="s">
        <v>2591</v>
      </c>
      <c r="D30" s="4" t="s">
        <v>2838</v>
      </c>
    </row>
    <row r="31" customFormat="false" ht="15" hidden="false" customHeight="false" outlineLevel="0" collapsed="false">
      <c r="A31" s="4" t="s">
        <v>2839</v>
      </c>
      <c r="B31" s="4" t="s">
        <v>2840</v>
      </c>
      <c r="C31" s="12" t="s">
        <v>2623</v>
      </c>
      <c r="D31" s="4" t="s">
        <v>2841</v>
      </c>
    </row>
    <row r="32" customFormat="false" ht="15" hidden="false" customHeight="false" outlineLevel="0" collapsed="false">
      <c r="A32" s="4" t="s">
        <v>507</v>
      </c>
      <c r="B32" s="4" t="s">
        <v>2842</v>
      </c>
      <c r="C32" s="12" t="s">
        <v>2641</v>
      </c>
      <c r="D32" s="4" t="s">
        <v>2830</v>
      </c>
    </row>
    <row r="33" customFormat="false" ht="15" hidden="false" customHeight="false" outlineLevel="0" collapsed="false">
      <c r="A33" s="4" t="s">
        <v>2843</v>
      </c>
      <c r="B33" s="4" t="s">
        <v>2844</v>
      </c>
      <c r="C33" s="4"/>
      <c r="D33" s="4" t="s">
        <v>2845</v>
      </c>
    </row>
    <row r="34" customFormat="false" ht="23.85" hidden="false" customHeight="false" outlineLevel="0" collapsed="false">
      <c r="A34" s="4" t="s">
        <v>2843</v>
      </c>
      <c r="B34" s="4" t="s">
        <v>2846</v>
      </c>
      <c r="C34" s="4"/>
      <c r="D34" s="4" t="s">
        <v>2847</v>
      </c>
    </row>
  </sheetData>
  <hyperlinks>
    <hyperlink ref="C2" r:id="rId1" display="https://dcpreservation.org/wp-content/uploads/2021/11/Streetcar-and-Bus-MPD-FINAL-5.2.06.pdf"/>
    <hyperlink ref="C3" r:id="rId2" display="https://www.chicagorailfan.com/bcwasrtd.html"/>
    <hyperlink ref="C4" r:id="rId3" display="https://en.wikipedia.org/wiki/Streetcars_in_Washington,_D.C."/>
    <hyperlink ref="C5" r:id="rId4" display="https://en.wikipedia.org/wiki/Streetcars_in_Washington,_D.C.,_and_Maryland"/>
    <hyperlink ref="C6" r:id="rId5" display="https://en.wikipedia.org/wiki/Northern_Virginia_trolleys"/>
    <hyperlink ref="C7" r:id="rId6" display="https://ghostsofdc.org/2013/01/29/new-1936-streetcar-map/"/>
    <hyperlink ref="C8" r:id="rId7" display="https://ggwash.org/view/35308/check-out-this-1942-dc-bus-and-streetcar-map"/>
    <hyperlink ref="C9" r:id="rId8" display="https://archive.org/details/jstor-40067099"/>
    <hyperlink ref="C10" r:id="rId9" display="https://archive.org/details/DevelopmentOfStreetRailwaySystemsInWashingtonD.c.V.h.Gray"/>
    <hyperlink ref="C11" r:id="rId10" display="https://archive.org/details/lawsrelatingtost00unit"/>
    <hyperlink ref="C12" r:id="rId11" display="https://en.wikipedia.org/wiki/Washington_and_Georgetown_Railroad"/>
    <hyperlink ref="C13" r:id="rId12" display="https://en.wikipedia.org/wiki/Pennsylvania_Avenue_Line_(Washington,_D.C.)"/>
    <hyperlink ref="C14" r:id="rId13" display="https://en.wikipedia.org/wiki/14th_Street_Line_(Washington,_D.C.)"/>
    <hyperlink ref="C15" r:id="rId14" display="https://en.wikipedia.org/wiki/Metropolitan_Railroad"/>
    <hyperlink ref="C16" r:id="rId15" display="https://en.wikipedia.org/wiki/Columbia_Railway"/>
    <hyperlink ref="C17" r:id="rId16" display="https://en.wikipedia.org/wiki/Anacostia_and_Potomac_River_Railroad"/>
    <hyperlink ref="C18" r:id="rId17" display="https://en.wikipedia.org/wiki/Capitol,_North_O_Street_and_South_Washington_Railway"/>
    <hyperlink ref="C19" r:id="rId18" display="https://en.wikipedia.org/wiki/Rock_Creek_Railway"/>
    <hyperlink ref="C20" r:id="rId19" display="https://en.wikipedia.org/wiki/Capital_Traction_Company"/>
    <hyperlink ref="C21" r:id="rId20" display="https://en.wikipedia.org/wiki/Washington_Railway_and_Electric_Company"/>
    <hyperlink ref="C22" r:id="rId21" display="https://en.wikipedia.org/wiki/Georgetown-to-Rockville_streetcar_service"/>
    <hyperlink ref="C23" r:id="rId22" display="https://en.wikipedia.org/wiki/Baltimore_and_Washington_Transit_Company"/>
    <hyperlink ref="C24" r:id="rId23" display="https://en.wikipedia.org/wiki/Great_Falls_and_Old_Dominion_Railroad"/>
    <hyperlink ref="C25" r:id="rId24" display="https://en.wikipedia.org/wiki/H_Street_Line"/>
    <hyperlink ref="C26" r:id="rId25" display="http://www.tundria.com/trams/USA/Washington-1946.php"/>
    <hyperlink ref="C27" r:id="rId26" display="https://www.loc.gov/resource/g3851fm.gct00015/?sp=11"/>
    <hyperlink ref="C28" r:id="rId27" display="https://www.loc.gov/item/87691460/"/>
    <hyperlink ref="C29" r:id="rId28" display="https://www.davidrumsey.com/"/>
    <hyperlink ref="C30" r:id="rId29" display="https://www.govinfo.gov/app/details/SERIALSET-06181_00_00-076-0441-0000"/>
    <hyperlink ref="C31" r:id="rId30" display="https://53studio.com/products/washington-dc-streetcar-system-map-june-1942"/>
    <hyperlink ref="C32" r:id="rId31" display="https://transitmap.net/washington-dc-trackage-195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2026-09-25T15:00:53Z</dcterms:created>
  <dc:creator>openpyxl</dc:creator>
  <dc:description/>
  <dc:language>en-US</dc:language>
  <cp:lastModifiedBy/>
  <dcterms:modified xsi:type="dcterms:W3CDTF">2026-09-25T15:00:53Z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